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b0f950c5446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9730b42dd0f40d9"/>
    <x:sheet xmlns:r="http://schemas.openxmlformats.org/officeDocument/2006/relationships" name="Tracker" sheetId="2" r:id="R656c6e7b13ac405b"/>
    <x:sheet xmlns:r="http://schemas.openxmlformats.org/officeDocument/2006/relationships" name="GUI View" sheetId="3" r:id="Rcf42628fb7ba447d"/>
    <x:sheet xmlns:r="http://schemas.openxmlformats.org/officeDocument/2006/relationships" name="Issue Queue" sheetId="4" r:id="Rfa847c9858a7471a"/>
    <x:sheet xmlns:r="http://schemas.openxmlformats.org/officeDocument/2006/relationships" name="Readiness" sheetId="5" r:id="Rf0384bf7069f41bf"/>
    <x:sheet xmlns:r="http://schemas.openxmlformats.org/officeDocument/2006/relationships" name="SDD Coverage" sheetId="6" r:id="Rbde9d62d1864450e"/>
    <x:sheet xmlns:r="http://schemas.openxmlformats.org/officeDocument/2006/relationships" name="Sources" sheetId="7" r:id="R83cbb7e99ffd4cad"/>
    <x:sheet xmlns:r="http://schemas.openxmlformats.org/officeDocument/2006/relationships" name="History" sheetId="8" r:id="Rb42122844cc74e04"/>
    <x:sheet xmlns:r="http://schemas.openxmlformats.org/officeDocument/2006/relationships" name="Rules" sheetId="9" r:id="Ra990d59611e84812"/>
    <x:sheet xmlns:r="http://schemas.openxmlformats.org/officeDocument/2006/relationships" name="Change Log" sheetId="10" r:id="R42acbc9907eb41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b/>
      <x:sz val="18"/>
      <x:color rgb="FFFFFFFF"/>
      <x:name val="Carlito"/>
    </x:font>
    <x:font>
      <x:sz val="10"/>
      <x:color rgb="FF22354A"/>
      <x:name val="Carlito"/>
    </x:font>
    <x:font>
      <x:b/>
      <x:sz val="10"/>
      <x:color rgb="FFFFFFFF"/>
      <x:name val="Carlito"/>
    </x:font>
    <x:font>
      <x:b/>
      <x:sz val="10"/>
      <x:color rgb="FF0B6B69"/>
      <x:name val="Carlito"/>
    </x:font>
    <x:font>
      <x:b/>
      <x:sz val="10"/>
      <x:color rgb="FF22354A"/>
      <x:name val="Aptos"/>
    </x:font>
    <x:font>
      <x:sz val="10"/>
      <x:color rgb="FF22354A"/>
      <x:name val="Aptos"/>
    </x:font>
    <x:font>
      <x:b/>
      <x:sz val="20"/>
      <x:color rgb="FFFFFFFF"/>
      <x:name val="Aptos"/>
    </x:font>
    <x:font>
      <x:b/>
      <x:sz val="9"/>
      <x:color rgb="FFFFFFFF"/>
      <x:name val="Aptos"/>
    </x:font>
    <x:font>
      <x:b/>
      <x:sz val="30"/>
      <x:color rgb="FF16324F"/>
      <x:name val="Aptos"/>
    </x:font>
    <x:font>
      <x:b/>
      <x:sz val="11"/>
      <x:color rgb="FF765019"/>
      <x:name val="Aptos"/>
    </x:font>
    <x:font>
      <x:b/>
      <x:sz val="10"/>
      <x:color rgb="FFFFFFFF"/>
      <x:name val="Aptos"/>
    </x:font>
    <x:font>
      <x:b/>
      <x:sz val="16"/>
      <x:color rgb="FF0B6B69"/>
      <x:name val="Aptos"/>
    </x:font>
    <x:font>
      <x:b/>
      <x:sz val="11"/>
      <x:color rgb="FF22354A"/>
      <x:name val="Aptos"/>
    </x:font>
    <x:font>
      <x:b/>
      <x:sz val="10"/>
      <x:color rgb="FF0B6B69"/>
      <x:name val="Aptos"/>
    </x:font>
    <x:font>
      <x:sz val="10"/>
      <x:color rgb="FF5C7085"/>
      <x:name val="Aptos"/>
    </x:font>
    <x:font>
      <x:sz val="10"/>
      <x:color rgb="FF765019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3F6FA"/>
      </x:patternFill>
    </x:fill>
    <x:fill>
      <x:patternFill patternType="solid">
        <x:fgColor rgb="FF0B6B69"/>
      </x:patternFill>
    </x:fill>
    <x:fill>
      <x:patternFill patternType="solid">
        <x:fgColor rgb="FFFFF1D5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/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horizontal="center"/>
    </x:xf>
    <x:xf numFmtId="0" fontId="9" fillId="3" borderId="1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/>
    <x:xf numFmtId="0" fontId="10" fillId="5" borderId="1" xfId="0" applyNumberFormat="1" applyFont="1" applyFill="1" applyBorder="1"/>
    <x:xf numFmtId="0" fontId="10" fillId="5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11" fillId="2" borderId="0" xfId="0" applyNumberFormat="1" applyFont="1" applyFill="1" applyBorder="1"/>
    <x:xf numFmtId="0" fontId="6" fillId="2" borderId="1" xfId="0" applyNumberFormat="1" applyFont="1" applyFill="1" applyBorder="1"/>
    <x:xf numFmtId="0" fontId="11" fillId="2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vertical="center" wrapText="1"/>
    </x:xf>
    <x:xf numFmtId="0" fontId="12" fillId="6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vertical="center" wrapText="1"/>
    </x:xf>
    <x:xf numFmtId="0" fontId="12" fillId="3" borderId="1" xfId="0" applyNumberFormat="1" applyFont="1" applyFill="1" applyBorder="1" applyAlignment="1">
      <x:alignment vertical="center" wrapText="1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0" fontId="13" fillId="3" borderId="0" xfId="0" applyNumberFormat="1" applyFont="1" applyFill="1" applyBorder="1" applyAlignment="1">
      <x:alignment vertical="center" wrapText="1"/>
    </x:xf>
    <x:xf numFmtId="0" fontId="13" fillId="3" borderId="1" xfId="0" applyNumberFormat="1" applyFont="1" applyFill="1" applyBorder="1"/>
    <x:xf numFmtId="0" fontId="13" fillId="3" borderId="1" xfId="0" applyNumberFormat="1" applyFont="1" applyFill="1" applyBorder="1" applyAlignment="1">
      <x:alignment wrapText="1"/>
    </x:xf>
    <x:xf numFmtId="0" fontId="13" fillId="3" borderId="1" xfId="0" applyNumberFormat="1" applyFont="1" applyFill="1" applyBorder="1" applyAlignment="1">
      <x:alignment vertical="center" wrapText="1"/>
    </x:xf>
    <x:xf numFmtId="0" fontId="14" fillId="3" borderId="0" xfId="0" applyNumberFormat="1" applyFont="1" applyFill="1" applyBorder="1" applyAlignment="1">
      <x:alignment vertical="center" wrapText="1"/>
    </x:xf>
    <x:xf numFmtId="0" fontId="14" fillId="3" borderId="1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vertical="center" wrapText="1"/>
    </x:xf>
    <x:xf numFmtId="0" fontId="14" fillId="6" borderId="1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1" xfId="0" applyNumberFormat="1" applyFont="1" applyFill="1" applyBorder="1"/>
    <x:xf numFmtId="0" fontId="15" fillId="0" borderId="1" xfId="0" applyNumberFormat="1" applyFont="1" applyFill="1" applyBorder="1" applyAlignment="1">
      <x:alignment wrapText="1"/>
    </x:xf>
    <x:xf numFmtId="0" fontId="16" fillId="5" borderId="0" xfId="0" applyNumberFormat="1" applyFont="1" applyFill="1" applyBorder="1"/>
    <x:xf numFmtId="0" fontId="16" fillId="5" borderId="0" xfId="0" applyNumberFormat="1" applyFont="1" applyFill="1" applyBorder="1" applyAlignment="1">
      <x:alignment wrapText="1"/>
    </x:xf>
    <x:xf numFmtId="0" fontId="16" fillId="5" borderId="0" xfId="0" applyNumberFormat="1" applyFont="1" applyFill="1" applyBorder="1" applyAlignment="1">
      <x:alignment vertical="center" wrapText="1"/>
    </x:xf>
    <x:xf numFmtId="0" fontId="16" fillId="5" borderId="1" xfId="0" applyNumberFormat="1" applyFont="1" applyFill="1" applyBorder="1"/>
    <x:xf numFmtId="0" fontId="16" fillId="5" borderId="1" xfId="0" applyNumberFormat="1" applyFont="1" applyFill="1" applyBorder="1" applyAlignment="1">
      <x:alignment wrapText="1"/>
    </x:xf>
    <x:xf numFmtId="0" fontId="16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4">
    <x:dxf>
      <x:font>
        <x:b/>
        <x:color rgb="FF123E73"/>
      </x:font>
      <x:fill>
        <x:patternFill>
          <x:bgColor rgb="FFDBEAFE"/>
        </x:patternFill>
      </x:fill>
    </x:dxf>
    <x:dxf>
      <x:font>
        <x:b/>
        <x:color rgb="FF80551C"/>
      </x:font>
      <x:fill>
        <x:patternFill>
          <x:bgColor rgb="FFFFF1D5"/>
        </x:patternFill>
      </x:fill>
    </x:dxf>
    <x:dxf>
      <x:font>
        <x:b/>
        <x:color rgb="FF982D2D"/>
      </x:font>
      <x:fill>
        <x:patternFill>
          <x:bgColor rgb="FFFDE7E7"/>
        </x:patternFill>
      </x:fill>
    </x:dxf>
    <x:dxf>
      <x:font>
        <x:b/>
        <x:color rgb="FF80551C"/>
      </x:font>
      <x:fill>
        <x:patternFill>
          <x:bgColor rgb="FFFFF1D5"/>
        </x:patternFill>
      </x:fill>
    </x:dxf>
    <x:dxf>
      <x:font>
        <x:b/>
        <x:color rgb="FF634294"/>
      </x:font>
      <x:fill>
        <x:patternFill>
          <x:bgColor rgb="FFEEE7FA"/>
        </x:patternFill>
      </x:fill>
    </x:dxf>
    <x:dxf>
      <x:font>
        <x:b/>
        <x:color rgb="FF5C7085"/>
      </x:font>
      <x:fill>
        <x:patternFill>
          <x:bgColor rgb="FFEDF1F5"/>
        </x:patternFill>
      </x:fill>
    </x:dxf>
    <x:dxf>
      <x:font>
        <x:b/>
        <x:color rgb="FF135A47"/>
      </x:font>
      <x:fill>
        <x:patternFill>
          <x:bgColor rgb="FFDDF1E9"/>
        </x:patternFill>
      </x:fill>
    </x:dxf>
    <x:dxf>
      <x:font>
        <x:b/>
        <x:color rgb="FF5C7085"/>
      </x:font>
      <x:fill>
        <x:patternFill>
          <x:bgColor rgb="FFEDF1F5"/>
        </x:patternFill>
      </x:fill>
    </x:dxf>
    <x:dxf>
      <x:font>
        <x:color rgb="FF123E73"/>
      </x:font>
      <x:fill>
        <x:patternFill>
          <x:bgColor rgb="FFDBEAFE"/>
        </x:patternFill>
      </x:fill>
    </x:dxf>
    <x:dxf>
      <x:font>
        <x:color rgb="FF80551C"/>
      </x:font>
      <x:fill>
        <x:patternFill>
          <x:bgColor rgb="FFFFF1D5"/>
        </x:patternFill>
      </x:fill>
    </x:dxf>
    <x:dxf>
      <x:font>
        <x:color rgb="FF982D2D"/>
      </x:font>
      <x:fill>
        <x:patternFill>
          <x:bgColor rgb="FFFDE7E7"/>
        </x:patternFill>
      </x:fill>
    </x:dxf>
    <x:dxf>
      <x:font>
        <x:color rgb="FF80551C"/>
      </x:font>
      <x:fill>
        <x:patternFill>
          <x:bgColor rgb="FFFFF1D5"/>
        </x:patternFill>
      </x:fill>
    </x:dxf>
    <x:dxf>
      <x:font>
        <x:color rgb="FF634294"/>
      </x:font>
      <x:fill>
        <x:patternFill>
          <x:bgColor rgb="FFEEE7FA"/>
        </x:patternFill>
      </x:fill>
    </x:dxf>
    <x:dxf>
      <x:font>
        <x:color rgb="FF5C7085"/>
      </x:font>
      <x:fill>
        <x:patternFill>
          <x:bgColor rgb="FFEDF1F5"/>
        </x:patternFill>
      </x:fill>
    </x:dxf>
    <x:dxf>
      <x:font>
        <x:color rgb="FF135A47"/>
      </x:font>
      <x:fill>
        <x:patternFill>
          <x:bgColor rgb="FFDDF1E9"/>
        </x:patternFill>
      </x:fill>
    </x:dxf>
    <x:dxf>
      <x:font>
        <x:color rgb="FF5C7085"/>
      </x:font>
      <x:fill>
        <x:patternFill>
          <x:bgColor rgb="FFEDF1F5"/>
        </x:patternFill>
      </x:fill>
    </x:dxf>
    <x:dxf>
      <x:font>
        <x:color rgb="FF123E73"/>
      </x:font>
      <x:fill>
        <x:patternFill>
          <x:bgColor rgb="FFDBEAFE"/>
        </x:patternFill>
      </x:fill>
    </x:dxf>
    <x:dxf>
      <x:font>
        <x:color rgb="FF80551C"/>
      </x:font>
      <x:fill>
        <x:patternFill>
          <x:bgColor rgb="FFFFF1D5"/>
        </x:patternFill>
      </x:fill>
    </x:dxf>
    <x:dxf>
      <x:font>
        <x:color rgb="FF982D2D"/>
      </x:font>
      <x:fill>
        <x:patternFill>
          <x:bgColor rgb="FFFDE7E7"/>
        </x:patternFill>
      </x:fill>
    </x:dxf>
    <x:dxf>
      <x:font>
        <x:color rgb="FF80551C"/>
      </x:font>
      <x:fill>
        <x:patternFill>
          <x:bgColor rgb="FFFFF1D5"/>
        </x:patternFill>
      </x:fill>
    </x:dxf>
    <x:dxf>
      <x:font>
        <x:color rgb="FF634294"/>
      </x:font>
      <x:fill>
        <x:patternFill>
          <x:bgColor rgb="FFEEE7FA"/>
        </x:patternFill>
      </x:fill>
    </x:dxf>
    <x:dxf>
      <x:font>
        <x:color rgb="FF5C7085"/>
      </x:font>
      <x:fill>
        <x:patternFill>
          <x:bgColor rgb="FFEDF1F5"/>
        </x:patternFill>
      </x:fill>
    </x:dxf>
    <x:dxf>
      <x:font>
        <x:color rgb="FF135A47"/>
      </x:font>
      <x:fill>
        <x:patternFill>
          <x:bgColor rgb="FFDDF1E9"/>
        </x:patternFill>
      </x:fill>
    </x:dxf>
    <x:dxf>
      <x:font>
        <x:color rgb="FF5C7085"/>
      </x:font>
      <x:fill>
        <x:patternFill>
          <x:bgColor rgb="FFEDF1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9d4aa3b5b4407" /><Relationship Type="http://schemas.openxmlformats.org/officeDocument/2006/relationships/theme" Target="/xl/theme/theme1.xml" Id="R72a339816a6c4fa8" /><Relationship Type="http://schemas.openxmlformats.org/officeDocument/2006/relationships/sharedStrings" Target="/xl/sharedStrings.xml" Id="Ref09f1cc6f584165" /><Relationship Type="http://schemas.openxmlformats.org/officeDocument/2006/relationships/worksheet" Target="/xl/worksheets/sheet1.xml" Id="R89730b42dd0f40d9" /><Relationship Type="http://schemas.openxmlformats.org/officeDocument/2006/relationships/worksheet" Target="/xl/worksheets/sheet2.xml" Id="R656c6e7b13ac405b" /><Relationship Type="http://schemas.openxmlformats.org/officeDocument/2006/relationships/worksheet" Target="/xl/worksheets/sheet3.xml" Id="Rcf42628fb7ba447d" /><Relationship Type="http://schemas.openxmlformats.org/officeDocument/2006/relationships/worksheet" Target="/xl/worksheets/sheet4.xml" Id="Rfa847c9858a7471a" /><Relationship Type="http://schemas.openxmlformats.org/officeDocument/2006/relationships/worksheet" Target="/xl/worksheets/sheet5.xml" Id="Rf0384bf7069f41bf" /><Relationship Type="http://schemas.openxmlformats.org/officeDocument/2006/relationships/worksheet" Target="/xl/worksheets/sheet6.xml" Id="Rbde9d62d1864450e" /><Relationship Type="http://schemas.openxmlformats.org/officeDocument/2006/relationships/worksheet" Target="/xl/worksheets/sheet7.xml" Id="R83cbb7e99ffd4cad" /><Relationship Type="http://schemas.openxmlformats.org/officeDocument/2006/relationships/worksheet" Target="/xl/worksheets/sheet8.xml" Id="Rb42122844cc74e04" /><Relationship Type="http://schemas.openxmlformats.org/officeDocument/2006/relationships/worksheet" Target="/xl/worksheets/sheet9.xml" Id="Ra990d59611e84812" /><Relationship Type="http://schemas.openxmlformats.org/officeDocument/2006/relationships/worksheet" Target="/xl/worksheets/sheet10.xml" Id="R42acbc9907eb416e" /></Relationships>
</file>

<file path=xl/tables/table1.xml><?xml version="1.0" encoding="utf-8"?>
<x:table xmlns:x="http://schemas.openxmlformats.org/spreadsheetml/2006/main" id="1" name="LuffyMaster" displayName="LuffyMaster" ref="A6:Q182" headerRowCount="1" totalsRowCount="0" totalsRowShown="0">
  <x:tableColumns count="17">
    <x:tableColumn id="1" name="ID"/>
    <x:tableColumn id="2" name="Area"/>
    <x:tableColumn id="3" name="Delivery scope"/>
    <x:tableColumn id="4" name="Work status"/>
    <x:tableColumn id="5" name="Required behaviour"/>
    <x:tableColumn id="6" name="Why this exists"/>
    <x:tableColumn id="7" name="Close when"/>
    <x:tableColumn id="8" name="Failure / regression proof"/>
    <x:tableColumn id="9" name="Prerequisites / parent"/>
    <x:tableColumn id="10" name="Owner role"/>
    <x:tableColumn id="11" name="Build evidence"/>
    <x:tableColumn id="12" name="Runtime evidence"/>
    <x:tableColumn id="13" name="Visual approval"/>
    <x:tableColumn id="14" name="Known evidence and limitations"/>
    <x:tableColumn id="15" name="Next proof / action"/>
    <x:tableColumn id="16" name="Sources / sections"/>
    <x:tableColumn id="17" name="Primary source lo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uffyGui" displayName="LuffyGui" ref="A6:I35" headerRowCount="1" totalsRowCount="0" totalsRowShown="0">
  <x:tableColumns count="9">
    <x:tableColumn id="1" name="ID"/>
    <x:tableColumn id="2" name="Behaviour / screen"/>
    <x:tableColumn id="3" name="Status"/>
    <x:tableColumn id="4" name="Build proof"/>
    <x:tableColumn id="5" name="Runtime proof"/>
    <x:tableColumn id="6" name="Visual approval"/>
    <x:tableColumn id="7" name="Close when"/>
    <x:tableColumn id="8" name="Known evidence / limitation"/>
    <x:tableColumn id="9" name="Sourc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uffyIssues" displayName="LuffyIssues" ref="A6:I29" headerRowCount="1" totalsRowCount="0" totalsRowShown="0">
  <x:tableColumns count="9">
    <x:tableColumn id="1" name="ID"/>
    <x:tableColumn id="2" name="Status"/>
    <x:tableColumn id="3" name="Issue / work"/>
    <x:tableColumn id="4" name="Why / impact"/>
    <x:tableColumn id="5" name="Parent requirement"/>
    <x:tableColumn id="6" name="Close when"/>
    <x:tableColumn id="7" name="Latest evidence"/>
    <x:tableColumn id="8" name="Next action"/>
    <x:tableColumn id="9" name="Sourc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uffyReadiness" displayName="LuffyReadiness" ref="A6:F13" headerRowCount="1" totalsRowCount="0" totalsRowShown="0">
  <x:tableColumns count="6">
    <x:tableColumn id="1" name="Gate"/>
    <x:tableColumn id="2" name="Outcome"/>
    <x:tableColumn id="3" name="Required item IDs"/>
    <x:tableColumn id="4" name="Close when"/>
    <x:tableColumn id="5" name="Current evidence state"/>
    <x:tableColumn id="6" name="Limit / warni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uffyCoverage" displayName="LuffyCoverage" ref="A6:F43" headerRowCount="1" totalsRowCount="0" totalsRowShown="0">
  <x:tableColumns count="6">
    <x:tableColumn id="1" name="Section"/>
    <x:tableColumn id="2" name="SDD heading"/>
    <x:tableColumn id="3" name="Tracker IDs"/>
    <x:tableColumn id="4" name="Mapping state"/>
    <x:tableColumn id="5" name="Qualification"/>
    <x:tableColumn id="6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uffySources" displayName="LuffySources" ref="A6:G23" headerRowCount="1" totalsRowCount="0" totalsRowShown="0">
  <x:tableColumns count="7">
    <x:tableColumn id="1" name="Source ID"/>
    <x:tableColumn id="2" name="Title"/>
    <x:tableColumn id="3" name="Kind"/>
    <x:tableColumn id="4" name="Code / evidence identity"/>
    <x:tableColumn id="5" name="Location"/>
    <x:tableColumn id="6" name="Supported scope"/>
    <x:tableColumn id="7" name="Qualific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uffyHistory" displayName="LuffyHistory" ref="A6:F19" headerRowCount="1" totalsRowCount="0" totalsRowShown="0">
  <x:tableColumns count="6">
    <x:tableColumn id="1" name="Legacy ID"/>
    <x:tableColumn id="2" name="Current parent"/>
    <x:tableColumn id="3" name="Origin"/>
    <x:tableColumn id="4" name="Historical finding"/>
    <x:tableColumn id="5" name="Recorded resolution / limitation"/>
    <x:tableColumn id="6" name="Sour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LuffyRules" displayName="LuffyRules" ref="A6:B32" headerRowCount="1" totalsRowCount="0" totalsRowShown="0">
  <x:tableColumns count="2">
    <x:tableColumn id="1" name="Rule / status"/>
    <x:tableColumn id="2" name="Meaning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LuffyChangeLog" displayName="LuffyChangeLog" ref="A6:H11" headerRowCount="1" totalsRowCount="0" totalsRowShown="0">
  <x:tableColumns count="8">
    <x:tableColumn id="1" name="Date"/>
    <x:tableColumn id="2" name="Event"/>
    <x:tableColumn id="3" name="Item(s)"/>
    <x:tableColumn id="4" name="Before"/>
    <x:tableColumn id="5" name="After"/>
    <x:tableColumn id="6" name="Why"/>
    <x:tableColumn id="7" name="Source / evidence"/>
    <x:tableColumn id="8" name="Actor / proven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5aec073f244b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ee537696ce4c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85b3de27734d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e25449ebbe40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f3c6c58e4049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cf0f4a870240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35996df7d84a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1dbe7b45f7479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8f1ea2c6856424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4" customHeight="1">
      <x:c r="A1" s="38" t="str">
        <x:v>LUFFY | PRODUCT TRACKER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</x:row>
    <x:row r="2" ht="24" customHeight="1">
      <x:c r="A2" s="38"/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</x:row>
    <x:row r="3" ht="23" customHeight="1">
      <x:c r="A3" s="33" t="str">
        <x:v>v1.1 REPOSITORY IMPORT SNAPSHOT • Owner approved publication; file import and evidence mapping still require verification.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</x:row>
    <x:row r="4" ht="23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</x:row>
    <x:row r="5">
      <x:c r="A5" s="34"/>
      <x:c r="B5" s="34"/>
      <x:c r="C5" s="34"/>
      <x:c r="D5" s="34"/>
      <x:c r="E5" s="34"/>
      <x:c r="F5" s="34"/>
      <x:c r="G5" s="34"/>
      <x:c r="H5" s="34"/>
      <x:c r="I5" s="34"/>
      <x:c r="J5" s="34"/>
      <x:c r="K5" s="34"/>
      <x:c r="L5" s="34"/>
    </x:row>
    <x:row r="6" ht="23" customHeight="1">
      <x:c r="A6" s="42" t="str">
        <x:v>TRACKED ITEMS</x:v>
      </x:c>
      <x:c r="B6" s="42"/>
      <x:c r="C6" s="42"/>
      <x:c r="D6" s="42" t="str">
        <x:v>GUI ITEMS</x:v>
      </x:c>
      <x:c r="E6" s="42"/>
      <x:c r="F6" s="42"/>
      <x:c r="G6" s="42" t="str">
        <x:v>ACTIVE WORK PACKAGES</x:v>
      </x:c>
      <x:c r="H6" s="42"/>
      <x:c r="I6" s="42"/>
      <x:c r="J6" s="42" t="str">
        <x:v>NARROW FIXES CLOSED</x:v>
      </x:c>
      <x:c r="K6" s="42"/>
      <x:c r="L6" s="42"/>
    </x:row>
    <x:row r="7" ht="21" customHeight="1">
      <x:c r="A7" s="49" t="n">
        <x:f>COUNTA(LuffyMaster[ID])</x:f>
        <x:v>176</x:v>
      </x:c>
      <x:c r="B7" s="49"/>
      <x:c r="C7" s="49"/>
      <x:c r="D7" s="49" t="n">
        <x:f>COUNTIF(LuffyMaster[Area],"Dashboard GUI")+COUNTIF(LuffyMaster[Area],"Dashboard visual approval")+COUNTIF(LuffyMaster[Area],"GUI shared behaviour")</x:f>
        <x:v>29</x:v>
      </x:c>
      <x:c r="E7" s="49"/>
      <x:c r="F7" s="49"/>
      <x:c r="G7" s="49" t="n">
        <x:f>COUNTIF(LuffyMaster[Work status],"IN_PROGRESS")</x:f>
        <x:v>1</x:v>
      </x:c>
      <x:c r="H7" s="49"/>
      <x:c r="I7" s="49"/>
      <x:c r="J7" s="49" t="n">
        <x:f>COUNTIF(LuffyMaster[Work status],"CLOSED")</x:f>
        <x:v>7</x:v>
      </x:c>
      <x:c r="K7" s="49"/>
      <x:c r="L7" s="49"/>
    </x:row>
    <x:row r="8" ht="21" customHeight="1">
      <x:c r="A8" s="49"/>
      <x:c r="B8" s="49"/>
      <x:c r="C8" s="49"/>
      <x:c r="D8" s="49"/>
      <x:c r="E8" s="49"/>
      <x:c r="F8" s="49"/>
      <x:c r="G8" s="49"/>
      <x:c r="H8" s="49"/>
      <x:c r="I8" s="49"/>
      <x:c r="J8" s="49"/>
      <x:c r="K8" s="49"/>
      <x:c r="L8" s="49"/>
    </x:row>
    <x:row r="9" ht="21" customHeight="1">
      <x:c r="A9" s="49"/>
      <x:c r="B9" s="49"/>
      <x:c r="C9" s="49"/>
      <x:c r="D9" s="49"/>
      <x:c r="E9" s="49"/>
      <x:c r="F9" s="49"/>
      <x:c r="G9" s="49"/>
      <x:c r="H9" s="49"/>
      <x:c r="I9" s="49"/>
      <x:c r="J9" s="49"/>
      <x:c r="K9" s="49"/>
      <x:c r="L9" s="49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</x:row>
    <x:row r="11" ht="25" customHeight="1">
      <x:c r="A11" s="57" t="str">
        <x:v>CURRENT: OPEN-09 — tracker import and Dots setup only. WORK-01 BLOCKED: 259.776s first cycle; stop at 240.033s. Next diagnostic candidate: PERF-01. No restart or trading activation.</x:v>
      </x:c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</x:row>
    <x:row r="12" ht="25" customHeight="1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</x:row>
    <x:row r="14" ht="25" customHeight="1">
      <x:c r="A14" s="63" t="str">
        <x:v>WORKFLOW COUNTS — NOT PRODUCT COMPLETION</x:v>
      </x:c>
      <x:c r="B14" s="63"/>
      <x:c r="C14" s="63"/>
      <x:c r="D14" s="63"/>
      <x:c r="E14" s="63"/>
      <x:c r="F14" s="63"/>
      <x:c r="G14" s="63" t="str">
        <x:v>HOW TO USE THIS FILE</x:v>
      </x:c>
      <x:c r="H14" s="63"/>
      <x:c r="I14" s="63"/>
      <x:c r="J14" s="63"/>
      <x:c r="K14" s="63"/>
      <x:c r="L14" s="63"/>
    </x:row>
    <x:row r="15" ht="42" customHeight="1">
      <x:c r="A15" s="68" t="str">
        <x:v>EVIDENCE_TO_MAP</x:v>
      </x:c>
      <x:c r="B15" s="68"/>
      <x:c r="C15" s="68"/>
      <x:c r="D15" s="72" t="n">
        <x:f>COUNTIF(LuffyMaster[Work status],A15)</x:f>
        <x:v>130</x:v>
      </x:c>
      <x:c r="E15" s="68" t="str">
        <x:v>Map existing proof; do not reopen.</x:v>
      </x:c>
      <x:c r="F15" s="68"/>
      <x:c r="G15" s="68" t="str">
        <x:v>1  YAML is canonical. Workbook and Markdown are generated views; do not independently change status in all three.</x:v>
      </x:c>
      <x:c r="H15" s="68"/>
      <x:c r="I15" s="68"/>
      <x:c r="J15" s="68"/>
      <x:c r="K15" s="68"/>
      <x:c r="L15" s="68"/>
    </x:row>
    <x:row r="16" ht="42" customHeight="1">
      <x:c r="A16" s="33" t="str">
        <x:v>OPEN</x:v>
      </x:c>
      <x:c r="B16" s="33"/>
      <x:c r="C16" s="33"/>
      <x:c r="D16" s="76" t="n">
        <x:f>COUNTIF(LuffyMaster[Work status],A16)</x:f>
        <x:v>6</x:v>
      </x:c>
      <x:c r="E16" s="33" t="str">
        <x:v>Known gap; not work permission.</x:v>
      </x:c>
      <x:c r="F16" s="33"/>
      <x:c r="G16" s="33" t="str">
        <x:v>2  GUI View and Issue Queue are formula views. Change the master row, not its duplicated display.</x:v>
      </x:c>
      <x:c r="H16" s="33"/>
      <x:c r="I16" s="33"/>
      <x:c r="J16" s="33"/>
      <x:c r="K16" s="33"/>
      <x:c r="L16" s="33"/>
    </x:row>
    <x:row r="17" ht="42" customHeight="1">
      <x:c r="A17" s="68" t="str">
        <x:v>IN_PROGRESS</x:v>
      </x:c>
      <x:c r="B17" s="68"/>
      <x:c r="C17" s="68"/>
      <x:c r="D17" s="72" t="n">
        <x:f>COUNTIF(LuffyMaster[Work status],A17)</x:f>
        <x:v>1</x:v>
      </x:c>
      <x:c r="E17" s="68" t="str">
        <x:v>Exactly one active package.</x:v>
      </x:c>
      <x:c r="F17" s="68"/>
      <x:c r="G17" s="68" t="str">
        <x:v>3  Keep build, runtime and owner visual approval separate. A test count is not proof of the product.</x:v>
      </x:c>
      <x:c r="H17" s="68"/>
      <x:c r="I17" s="68"/>
      <x:c r="J17" s="68"/>
      <x:c r="K17" s="68"/>
      <x:c r="L17" s="68"/>
    </x:row>
    <x:row r="18" ht="42" customHeight="1">
      <x:c r="A18" s="33" t="str">
        <x:v>AWAITING_EVIDENCE</x:v>
      </x:c>
      <x:c r="B18" s="33"/>
      <x:c r="C18" s="33"/>
      <x:c r="D18" s="76" t="n">
        <x:f>COUNTIF(LuffyMaster[Work status],A18)</x:f>
        <x:v>15</x:v>
      </x:c>
      <x:c r="E18" s="33" t="str">
        <x:v>Required proof still pending.</x:v>
      </x:c>
      <x:c r="F18" s="33"/>
      <x:c r="G18" s="33" t="str">
        <x:v>4  Add findings with a stable ID, parent, evidence and closing condition. Do not silently change scope.</x:v>
      </x:c>
      <x:c r="H18" s="33"/>
      <x:c r="I18" s="33"/>
      <x:c r="J18" s="33"/>
      <x:c r="K18" s="33"/>
      <x:c r="L18" s="33"/>
    </x:row>
    <x:row r="19" ht="42" customHeight="1">
      <x:c r="A19" s="68" t="str">
        <x:v>AWAITING_OWNER</x:v>
      </x:c>
      <x:c r="B19" s="68"/>
      <x:c r="C19" s="68"/>
      <x:c r="D19" s="72" t="n">
        <x:f>COUNTIF(LuffyMaster[Work status],A19)</x:f>
        <x:v>14</x:v>
      </x:c>
      <x:c r="E19" s="68" t="str">
        <x:v>Scope, policy or visual approval.</x:v>
      </x:c>
      <x:c r="F19" s="68"/>
      <x:c r="G19" s="68" t="str">
        <x:v>5  Only choose the next item after recording the current result and its exact revision/run.</x:v>
      </x:c>
      <x:c r="H19" s="68"/>
      <x:c r="I19" s="68"/>
      <x:c r="J19" s="68"/>
      <x:c r="K19" s="68"/>
      <x:c r="L19" s="68"/>
    </x:row>
    <x:row r="20" ht="42" customHeight="1">
      <x:c r="A20" s="33" t="str">
        <x:v>CLOSED</x:v>
      </x:c>
      <x:c r="B20" s="33"/>
      <x:c r="C20" s="33"/>
      <x:c r="D20" s="76" t="n">
        <x:f>COUNTIF(LuffyMaster[Work status],A20)</x:f>
        <x:v>7</x:v>
      </x:c>
      <x:c r="E20" s="33" t="str">
        <x:v>Exact recorded fix scope only.</x:v>
      </x:c>
      <x:c r="F20" s="33"/>
      <x:c r="G20" s="33" t="str">
        <x:v>6  SDD remains target authority; STATE summarizes current evidence; NEXT selects one approved item. Publication/setup is OPEN-09.</x:v>
      </x:c>
      <x:c r="H20" s="33"/>
      <x:c r="I20" s="33"/>
      <x:c r="J20" s="33"/>
      <x:c r="K20" s="33"/>
      <x:c r="L20" s="33"/>
    </x:row>
    <x:row r="21" ht="42" customHeight="1">
      <x:c r="A21" s="68" t="str">
        <x:v>DEFERRED</x:v>
      </x:c>
      <x:c r="B21" s="68"/>
      <x:c r="C21" s="68"/>
      <x:c r="D21" s="72" t="n">
        <x:f>COUNTIF(LuffyMaster[Work status],A21)</x:f>
        <x:v>2</x:v>
      </x:c>
      <x:c r="E21" s="68" t="str">
        <x:v>Later or conditional scope.</x:v>
      </x:c>
      <x:c r="F21" s="68"/>
      <x:c r="G21" s="68" t="str">
        <x:v>7  All 176 IDs are preserved. Latest run is owner-reported; underlying VM artifacts and fresh process state still need local verification.</x:v>
      </x:c>
      <x:c r="H21" s="68"/>
      <x:c r="I21" s="68"/>
      <x:c r="J21" s="68"/>
      <x:c r="K21" s="68"/>
      <x:c r="L21" s="68"/>
    </x:row>
    <x:row r="22" ht="38" customHeight="1">
      <x:c r="A22" s="33" t="str">
        <x:v>BLOCKED</x:v>
      </x:c>
      <x:c r="B22" s="33"/>
      <x:c r="C22" s="33"/>
      <x:c r="D22" s="76" t="n">
        <x:f>COUNTIF(LuffyMaster[Work status],A22)</x:f>
        <x:v>1</x:v>
      </x:c>
      <x:c r="E22" s="33" t="str">
        <x:v>Exact blocking condition required.</x:v>
      </x:c>
      <x:c r="F22" s="33"/>
      <x:c r="G22" s="34"/>
      <x:c r="H22" s="34"/>
      <x:c r="I22" s="34"/>
      <x:c r="J22" s="34"/>
      <x:c r="K22" s="34"/>
      <x:c r="L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</x:row>
    <x:row r="25" ht="29" customHeight="1">
      <x:c r="A25" s="80" t="str">
        <x:v>CRITICAL LIMIT: EVIDENCE_TO_MAP does not mean missing or broken. Historical stage closures stay historical. This draft maps all 37 SDD sections, but does not certify clause-by-clause completeness or independently retest capabilities.</x:v>
      </x:c>
      <x:c r="B25" s="80"/>
      <x:c r="C25" s="80"/>
      <x:c r="D25" s="80"/>
      <x:c r="E25" s="80"/>
      <x:c r="F25" s="80"/>
      <x:c r="G25" s="80"/>
      <x:c r="H25" s="80"/>
      <x:c r="I25" s="80"/>
      <x:c r="J25" s="80"/>
      <x:c r="K25" s="80"/>
      <x:c r="L25" s="80"/>
    </x:row>
    <x:row r="26" ht="29" customHeight="1">
      <x:c r="A26" s="80"/>
      <x:c r="B26" s="80"/>
      <x:c r="C26" s="80"/>
      <x:c r="D26" s="80"/>
      <x:c r="E26" s="80"/>
      <x:c r="F26" s="80"/>
      <x:c r="G26" s="80"/>
      <x:c r="H26" s="80"/>
      <x:c r="I26" s="80"/>
      <x:c r="J26" s="80"/>
      <x:c r="K26" s="80"/>
      <x:c r="L26" s="80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</x:row>
    <x:row r="28" ht="27" customHeight="1">
      <x:c r="A28" s="63" t="str">
        <x:v>READINESS IS A SEQUENCE OF DEMONSTRATED CAPABILITIES — NOT ONE GLOBAL PASS</x:v>
      </x:c>
      <x:c r="B28" s="63"/>
      <x:c r="C28" s="63"/>
      <x:c r="D28" s="63"/>
      <x:c r="E28" s="63"/>
      <x:c r="F28" s="63"/>
      <x:c r="G28" s="63"/>
      <x:c r="H28" s="63"/>
      <x:c r="I28" s="63"/>
      <x:c r="J28" s="63"/>
      <x:c r="K28" s="63"/>
      <x:c r="L28" s="63"/>
    </x:row>
    <x:row r="29" ht="38" customHeight="1">
      <x:c r="A29" s="84" t="str">
        <x:v>M0</x:v>
      </x:c>
      <x:c r="B29" s="33" t="str">
        <x:v>One current project plan</x:v>
      </x:c>
      <x:c r="C29" s="33"/>
      <x:c r="D29" s="33"/>
      <x:c r="E29" s="33"/>
      <x:c r="F29" s="33" t="str">
        <x:v>Repository publication approved; exact artifact import, STATE/NEXT linkage and full row evidence mapping still pending.</x:v>
      </x:c>
      <x:c r="G29" s="33"/>
      <x:c r="H29" s="33"/>
      <x:c r="I29" s="33"/>
      <x:c r="J29" s="33"/>
      <x:c r="K29" s="33"/>
      <x:c r="L29" s="33"/>
    </x:row>
    <x:row r="30" ht="38" customHeight="1">
      <x:c r="A30" s="86" t="str">
        <x:v>M1</x:v>
      </x:c>
      <x:c r="B30" s="68" t="str">
        <x:v>Stable controlled observation</x:v>
      </x:c>
      <x:c r="C30" s="68"/>
      <x:c r="D30" s="68"/>
      <x:c r="E30" s="68"/>
      <x:c r="F30" s="68" t="str">
        <x:v>S16 BLOCKED: stop at 240.033s; first cycle completed during shutdown at 259.776s; zero complete window cycles; no steady-state or one-hour proof.</x:v>
      </x:c>
      <x:c r="G30" s="68"/>
      <x:c r="H30" s="68"/>
      <x:c r="I30" s="68"/>
      <x:c r="J30" s="68"/>
      <x:c r="K30" s="68"/>
      <x:c r="L30" s="68"/>
    </x:row>
    <x:row r="31" ht="38" customHeight="1">
      <x:c r="A31" s="84" t="str">
        <x:v>M2</x:v>
      </x:c>
      <x:c r="B31" s="33" t="str">
        <x:v>Supported autonomous research</x:v>
      </x:c>
      <x:c r="C31" s="33"/>
      <x:c r="D31" s="33"/>
      <x:c r="E31" s="33"/>
      <x:c r="F31" s="33" t="str">
        <x:v>Build claims and selected reproductions exist; enabled worker workload and prospective result not established.</x:v>
      </x:c>
      <x:c r="G31" s="33"/>
      <x:c r="H31" s="33"/>
      <x:c r="I31" s="33"/>
      <x:c r="J31" s="33"/>
      <x:c r="K31" s="33"/>
      <x:c r="L31" s="33"/>
    </x:row>
    <x:row r="32" ht="38" customHeight="1">
      <x:c r="A32" s="86" t="str">
        <x:v>M3</x:v>
      </x:c>
      <x:c r="B32" s="68" t="str">
        <x:v>Governed strategy/portfolio/outcome loop</x:v>
      </x:c>
      <x:c r="C32" s="68"/>
      <x:c r="D32" s="68"/>
      <x:c r="E32" s="68"/>
      <x:c r="F32" s="68" t="str">
        <x:v>Fixture/build evidence reported; real supported rule/economics/account evidence and observation remain partial.</x:v>
      </x:c>
      <x:c r="G32" s="68"/>
      <x:c r="H32" s="68"/>
      <x:c r="I32" s="68"/>
      <x:c r="J32" s="68"/>
      <x:c r="K32" s="68"/>
      <x:c r="L32" s="68"/>
    </x:row>
    <x:row r="33" ht="38" customHeight="1">
      <x:c r="A33" s="84" t="str">
        <x:v>M4</x:v>
      </x:c>
      <x:c r="B33" s="33" t="str">
        <x:v>Owner-usable GUI</x:v>
      </x:c>
      <x:c r="C33" s="33"/>
      <x:c r="D33" s="33"/>
      <x:c r="E33" s="33"/>
      <x:c r="F33" s="33" t="str">
        <x:v>Stage8 broad historical tests reported; current per-screen map and owner approvals pending.</x:v>
      </x:c>
      <x:c r="G33" s="33"/>
      <x:c r="H33" s="33"/>
      <x:c r="I33" s="33"/>
      <x:c r="J33" s="33"/>
      <x:c r="K33" s="33"/>
      <x:c r="L33" s="33"/>
    </x:row>
    <x:row r="34" ht="38" customHeight="1">
      <x:c r="A34" s="86" t="str">
        <x:v>M5</x:v>
      </x:c>
      <x:c r="B34" s="68" t="str">
        <x:v>Explicit real-money release</x:v>
      </x:c>
      <x:c r="C34" s="68"/>
      <x:c r="D34" s="68"/>
      <x:c r="E34" s="68"/>
      <x:c r="F34" s="68" t="str">
        <x:v>NOT_AUTHORIZED; current operation restricted to FROZEN demo observation.</x:v>
      </x:c>
      <x:c r="G34" s="68"/>
      <x:c r="H34" s="68"/>
      <x:c r="I34" s="68"/>
      <x:c r="J34" s="68"/>
      <x:c r="K34" s="68"/>
      <x:c r="L34" s="68"/>
    </x:row>
    <x:row r="35" ht="38" customHeight="1">
      <x:c r="A35" s="84" t="str">
        <x:v>M6</x:v>
      </x:c>
      <x:c r="B35" s="33" t="str">
        <x:v>Economic usefulness and disciplined expansion</x:v>
      </x:c>
      <x:c r="C35" s="33"/>
      <x:c r="D35" s="33"/>
      <x:c r="E35" s="33"/>
      <x:c r="F35" s="33" t="str">
        <x:v>Not established; no profitability guarantee or arbitrary quota.</x:v>
      </x:c>
      <x:c r="G35" s="33"/>
      <x:c r="H35" s="33"/>
      <x:c r="I35" s="33"/>
      <x:c r="J35" s="33"/>
      <x:c r="K35" s="33"/>
      <x:c r="L35" s="33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</x:row>
    <x:row r="38" ht="23" customHeight="1">
      <x:c r="A38" s="89" t="str">
        <x:v>Baseline: 9385f792f32277bb0b826dba83247b8f5ccf1f8a
Evidence checkpoint: 6da5ad9a895ddb0f5fed9d75904e9639cc731b44</x:v>
      </x:c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</x:row>
    <x:row r="39" ht="23" customHeight="1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</x:row>
    <x:row r="41" ht="24" customHeight="1">
      <x:c r="A41" s="94" t="str">
        <x:v>Source proof grades: pinned target / retained report / owner-pasted claim / not mapped. No fresh VM or venue inspection. Seven CLOSED rows are scoped reported fixes; none is a claim that LUFFY is ready for real-money trading.</x:v>
      </x:c>
      <x:c r="B41" s="94"/>
      <x:c r="C41" s="94"/>
      <x:c r="D41" s="94"/>
      <x:c r="E41" s="94"/>
      <x:c r="F41" s="94"/>
      <x:c r="G41" s="94"/>
      <x:c r="H41" s="94"/>
      <x:c r="I41" s="94"/>
      <x:c r="J41" s="94"/>
      <x:c r="K41" s="94"/>
      <x:c r="L41" s="94"/>
    </x:row>
    <x:row r="42" ht="24" customHeight="1">
      <x:c r="A42" s="94"/>
      <x:c r="B42" s="94"/>
      <x:c r="C42" s="94"/>
      <x:c r="D42" s="94"/>
      <x:c r="E42" s="94"/>
      <x:c r="F42" s="94"/>
      <x:c r="G42" s="94"/>
      <x:c r="H42" s="94"/>
      <x:c r="I42" s="94"/>
      <x:c r="J42" s="94"/>
      <x:c r="K42" s="94"/>
      <x:c r="L42" s="9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</x:row>
    <x:row r="44" ht="24" customHeight="1">
      <x:c r="A44" s="89" t="str">
        <x:v>MAINTENANCE: New IDs belong in the Master table and Change Log. GUI/Issue formula views show v1 rows; filter Master for newly added rows until views are refreshed. Choose one authoritative editing source on adoption—no XLSX/YAML/Git sync exists.</x:v>
      </x:c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</x:row>
    <x:row r="45" ht="24" customHeight="1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</x:row>
  </x:sheetData>
  <x:mergeCells>
    <x:mergeCell ref="A1:L2"/>
    <x:mergeCell ref="A3:L4"/>
    <x:mergeCell ref="A6:C6"/>
    <x:mergeCell ref="A7:C9"/>
    <x:mergeCell ref="D6:F6"/>
    <x:mergeCell ref="D7:F9"/>
    <x:mergeCell ref="G6:I6"/>
    <x:mergeCell ref="G7:I9"/>
    <x:mergeCell ref="J6:L6"/>
    <x:mergeCell ref="J7:L9"/>
    <x:mergeCell ref="A11:L12"/>
    <x:mergeCell ref="A14:F14"/>
    <x:mergeCell ref="G14:L14"/>
    <x:mergeCell ref="A15:C15"/>
    <x:mergeCell ref="E15:F15"/>
    <x:mergeCell ref="A16:C16"/>
    <x:mergeCell ref="E16:F16"/>
    <x:mergeCell ref="A17:C17"/>
    <x:mergeCell ref="E17:F17"/>
    <x:mergeCell ref="A18:C18"/>
    <x:mergeCell ref="E18:F18"/>
    <x:mergeCell ref="A19:C19"/>
    <x:mergeCell ref="E19:F19"/>
    <x:mergeCell ref="A20:C20"/>
    <x:mergeCell ref="E20:F20"/>
    <x:mergeCell ref="A21:C21"/>
    <x:mergeCell ref="E21:F21"/>
    <x:mergeCell ref="A22:C22"/>
    <x:mergeCell ref="E22:F22"/>
    <x:mergeCell ref="G15:L15"/>
    <x:mergeCell ref="G16:L16"/>
    <x:mergeCell ref="G17:L17"/>
    <x:mergeCell ref="G18:L18"/>
    <x:mergeCell ref="G19:L19"/>
    <x:mergeCell ref="G20:L20"/>
    <x:mergeCell ref="G21:L21"/>
    <x:mergeCell ref="A25:L26"/>
    <x:mergeCell ref="A28:L28"/>
    <x:mergeCell ref="B29:E29"/>
    <x:mergeCell ref="F29:L29"/>
    <x:mergeCell ref="B30:E30"/>
    <x:mergeCell ref="F30:L30"/>
    <x:mergeCell ref="B31:E31"/>
    <x:mergeCell ref="F31:L31"/>
    <x:mergeCell ref="B32:E32"/>
    <x:mergeCell ref="F32:L32"/>
    <x:mergeCell ref="B33:E33"/>
    <x:mergeCell ref="F33:L33"/>
    <x:mergeCell ref="B34:E34"/>
    <x:mergeCell ref="F34:L34"/>
    <x:mergeCell ref="B35:E35"/>
    <x:mergeCell ref="F35:L35"/>
    <x:mergeCell ref="A38:L39"/>
    <x:mergeCell ref="A41:L42"/>
    <x:mergeCell ref="A44:L4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2" hidden="0" customWidth="1"/>
    <x:col min="4" max="4" width="24" hidden="0" customWidth="1"/>
    <x:col min="5" max="5" width="45" hidden="0" customWidth="1"/>
    <x:col min="6" max="6" width="43" hidden="0" customWidth="1"/>
    <x:col min="7" max="7" width="62" hidden="0" customWidth="1"/>
    <x:col min="8" max="8" width="55" hidden="0" customWidth="1"/>
    <x:col min="9" max="9" width="34" hidden="0" customWidth="1"/>
    <x:col min="10" max="10" width="29" hidden="0" customWidth="1"/>
    <x:col min="11" max="11" width="28" hidden="0" customWidth="1"/>
    <x:col min="12" max="12" width="31" hidden="0" customWidth="1"/>
    <x:col min="13" max="13" width="27" hidden="0" customWidth="1"/>
    <x:col min="14" max="14" width="62" hidden="0" customWidth="1"/>
    <x:col min="15" max="15" width="52" hidden="0" customWidth="1"/>
    <x:col min="16" max="16" width="35" hidden="0" customWidth="1"/>
    <x:col min="17" max="17" width="62" hidden="0" customWidth="1"/>
  </x:cols>
  <x:sheetData>
    <x:row r="1" ht="24" customHeight="1">
      <x:c r="A1" s="4" t="str">
        <x:v>LUFFY | MASTER PRODUCT &amp; BEHAVIOUR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3" customHeight="1">
      <x:c r="A3" s="11" t="str">
        <x:v>v1.1 • YAML is the canonical detailed register • WORK-01 BLOCKED • OPEN-09 publication/setup active • No runtime authorization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</x:row>
    <x:row r="4" ht="23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</x:row>
    <x:row r="6" ht="32" customHeight="1">
      <x:c r="A6" s="19" t="str">
        <x:v>ID</x:v>
      </x:c>
      <x:c r="B6" s="19" t="str">
        <x:v>Area</x:v>
      </x:c>
      <x:c r="C6" s="19" t="str">
        <x:v>Delivery scope</x:v>
      </x:c>
      <x:c r="D6" s="19" t="str">
        <x:v>Work status</x:v>
      </x:c>
      <x:c r="E6" s="19" t="str">
        <x:v>Required behaviour</x:v>
      </x:c>
      <x:c r="F6" s="19" t="str">
        <x:v>Why this exists</x:v>
      </x:c>
      <x:c r="G6" s="19" t="str">
        <x:v>Close when</x:v>
      </x:c>
      <x:c r="H6" s="19" t="str">
        <x:v>Failure / regression proof</x:v>
      </x:c>
      <x:c r="I6" s="19" t="str">
        <x:v>Prerequisites / parent</x:v>
      </x:c>
      <x:c r="J6" s="19" t="str">
        <x:v>Owner role</x:v>
      </x:c>
      <x:c r="K6" s="19" t="str">
        <x:v>Build evidence</x:v>
      </x:c>
      <x:c r="L6" s="19" t="str">
        <x:v>Runtime evidence</x:v>
      </x:c>
      <x:c r="M6" s="19" t="str">
        <x:v>Visual approval</x:v>
      </x:c>
      <x:c r="N6" s="19" t="str">
        <x:v>Known evidence and limitations</x:v>
      </x:c>
      <x:c r="O6" s="19" t="str">
        <x:v>Next proof / action</x:v>
      </x:c>
      <x:c r="P6" s="19" t="str">
        <x:v>Sources / sections</x:v>
      </x:c>
      <x:c r="Q6" s="19" t="str">
        <x:v>Primary source location</x:v>
      </x:c>
    </x:row>
    <x:row r="7" ht="92" customHeight="1">
      <x:c r="A7" s="30" t="str">
        <x:v>GOV-01</x:v>
      </x:c>
      <x:c r="B7" s="26" t="str">
        <x:v>Product &amp; governance</x:v>
      </x:c>
      <x:c r="C7" s="26" t="str">
        <x:v>BASELINE</x:v>
      </x:c>
      <x:c r="D7" s="26" t="str">
        <x:v>EVIDENCE_TO_MAP</x:v>
      </x:c>
      <x:c r="E7" s="26" t="str">
        <x:v>Keep one authoritative target, evidence ledger and active task.</x:v>
      </x:c>
      <x:c r="F7" s="26" t="str">
        <x:v>Prevents different agents following incompatible definitions of current or done.</x:v>
      </x:c>
      <x:c r="G7" s="26" t="str">
        <x:v>A fresh agent resolves target from SDD, status from the adopted tracker/STATE and exactly one active ID from NEXT; all reference the same baseline.</x:v>
      </x:c>
      <x:c r="H7" s="26" t="str">
        <x:v>Conflicting/stale deployment claims are exposed, not silently reconciled.</x:v>
      </x:c>
      <x:c r="I7" s="26" t="str">
        <x:v>Prereqs: —</x:v>
      </x:c>
      <x:c r="J7" s="26" t="str">
        <x:v>Owner + engineering coordinator</x:v>
      </x:c>
      <x:c r="K7" s="26" t="str">
        <x:v>NOT_MAPPED</x:v>
      </x:c>
      <x:c r="L7" s="26" t="str">
        <x:v>NOT_MAPPED</x:v>
      </x:c>
      <x:c r="M7" s="26" t="str">
        <x:v>NOT_APPLICABLE</x:v>
      </x:c>
      <x:c r="N7" s="26" t="str">
        <x:v>No item-level evidence mapping completed in this tracker.</x:v>
      </x:c>
      <x:c r="O7" s="26" t="str">
        <x:v>Map existing exact evidence first; implement only a demonstrated gap, then satisfy this row's closure condition.</x:v>
      </x:c>
      <x:c r="P7" s="26" t="str">
        <x:v>S01, S09 | §§30–32,37</x:v>
      </x:c>
      <x:c r="Q7" s="26" t="str">
        <x:v>https://github.com/sarmadkhan17/Luffy/blob/9385f792f32277bb0b826dba83247b8f5ccf1f8a/SDD.md</x:v>
      </x:c>
    </x:row>
    <x:row r="8" ht="92" customHeight="1">
      <x:c r="A8" s="30" t="str">
        <x:v>GOV-02</x:v>
      </x:c>
      <x:c r="B8" s="26" t="str">
        <x:v>Product &amp; governance</x:v>
      </x:c>
      <x:c r="C8" s="26" t="str">
        <x:v>BASELINE</x:v>
      </x:c>
      <x:c r="D8" s="26" t="str">
        <x:v>EVIDENCE_TO_MAP</x:v>
      </x:c>
      <x:c r="E8" s="26" t="str">
        <x:v>Bind every work item to a requirement or evidenced defect, a reason and a closing condition.</x:v>
      </x:c>
      <x:c r="F8" s="26" t="str">
        <x:v>Stops error-driven wandering and undocumented scope growth.</x:v>
      </x:c>
      <x:c r="G8" s="26" t="str">
        <x:v>Every adopted item has stable ID, source, purpose, owner, dependencies, testable closure and evidence; no free-floating task is activated.</x:v>
      </x:c>
      <x:c r="H8" s="26" t="str">
        <x:v>A new issue cannot bypass intake or be added as a silent acceptance change.</x:v>
      </x:c>
      <x:c r="I8" s="26" t="str">
        <x:v>Prereqs: GOV-01</x:v>
      </x:c>
      <x:c r="J8" s="26" t="str">
        <x:v>Owner + engineering coordinator</x:v>
      </x:c>
      <x:c r="K8" s="26" t="str">
        <x:v>NOT_MAPPED</x:v>
      </x:c>
      <x:c r="L8" s="26" t="str">
        <x:v>NOT_MAPPED</x:v>
      </x:c>
      <x:c r="M8" s="26" t="str">
        <x:v>NOT_APPLICABLE</x:v>
      </x:c>
      <x:c r="N8" s="26" t="str">
        <x:v>No item-level evidence mapping completed in this tracker.</x:v>
      </x:c>
      <x:c r="O8" s="26" t="str">
        <x:v>Map existing exact evidence first; implement only a demonstrated gap, then satisfy this row's closure condition.</x:v>
      </x:c>
      <x:c r="P8" s="26" t="str">
        <x:v>S01, S09 | §31; owner tracker instruction</x:v>
      </x:c>
      <x:c r="Q8" s="26" t="str">
        <x:v>https://github.com/sarmadkhan17/Luffy/blob/9385f792f32277bb0b826dba83247b8f5ccf1f8a/SDD.md</x:v>
      </x:c>
    </x:row>
    <x:row r="9" ht="92" customHeight="1">
      <x:c r="A9" s="30" t="str">
        <x:v>GOV-03</x:v>
      </x:c>
      <x:c r="B9" s="26" t="str">
        <x:v>Product &amp; governance</x:v>
      </x:c>
      <x:c r="C9" s="26" t="str">
        <x:v>BASELINE</x:v>
      </x:c>
      <x:c r="D9" s="26" t="str">
        <x:v>EVIDENCE_TO_MAP</x:v>
      </x:c>
      <x:c r="E9" s="26" t="str">
        <x:v>Execute one coherent work package at a time with explicit boundaries.</x:v>
      </x:c>
      <x:c r="F9" s="26" t="str">
        <x:v>Prevents worktree races and fixes to an unknown baseline.</x:v>
      </x:c>
      <x:c r="G9" s="26" t="str">
        <x:v>NEXT points to one active tracker ID; assignee, branch, base, allowed files/actions and intended proof are recorded.</x:v>
      </x:c>
      <x:c r="H9" s="26" t="str">
        <x:v>Unexpected concurrent changes or a changed baseline stop the affected write, not overwrite it.</x:v>
      </x:c>
      <x:c r="I9" s="26" t="str">
        <x:v>Prereqs: GOV-01</x:v>
      </x:c>
      <x:c r="J9" s="26" t="str">
        <x:v>Owner + engineering coordinator</x:v>
      </x:c>
      <x:c r="K9" s="26" t="str">
        <x:v>NOT_MAPPED</x:v>
      </x:c>
      <x:c r="L9" s="26" t="str">
        <x:v>NOT_MAPPED</x:v>
      </x:c>
      <x:c r="M9" s="26" t="str">
        <x:v>NOT_APPLICABLE</x:v>
      </x:c>
      <x:c r="N9" s="26" t="str">
        <x:v>No item-level evidence mapping completed in this tracker.</x:v>
      </x:c>
      <x:c r="O9" s="26" t="str">
        <x:v>Map existing exact evidence first; implement only a demonstrated gap, then satisfy this row's closure condition.</x:v>
      </x:c>
      <x:c r="P9" s="26" t="str">
        <x:v>S01, S09 | §§30–32</x:v>
      </x:c>
      <x:c r="Q9" s="26" t="str">
        <x:v>https://github.com/sarmadkhan17/Luffy/blob/9385f792f32277bb0b826dba83247b8f5ccf1f8a/SDD.md</x:v>
      </x:c>
    </x:row>
    <x:row r="10" ht="92" customHeight="1">
      <x:c r="A10" s="30" t="str">
        <x:v>GOV-04</x:v>
      </x:c>
      <x:c r="B10" s="26" t="str">
        <x:v>Product &amp; governance</x:v>
      </x:c>
      <x:c r="C10" s="26" t="str">
        <x:v>BASELINE</x:v>
      </x:c>
      <x:c r="D10" s="26" t="str">
        <x:v>EVIDENCE_TO_MAP</x:v>
      </x:c>
      <x:c r="E10" s="26" t="str">
        <x:v>Separate implemented, tested, observed and approved status.</x:v>
      </x:c>
      <x:c r="F10" s="26" t="str">
        <x:v>Test-count PASS must not be mistaken for product or trading readiness.</x:v>
      </x:c>
      <x:c r="G10" s="26" t="str">
        <x:v>Each capability records build evidence and operational evidence separately; closure cites the exact required level and revision.</x:v>
      </x:c>
      <x:c r="H10" s="26" t="str">
        <x:v>Fixture-only proof cannot populate runtime or owner approval fields.</x:v>
      </x:c>
      <x:c r="I10" s="26" t="str">
        <x:v>Prereqs: GOV-01</x:v>
      </x:c>
      <x:c r="J10" s="26" t="str">
        <x:v>Owner + engineering coordinator</x:v>
      </x:c>
      <x:c r="K10" s="26" t="str">
        <x:v>NOT_MAPPED</x:v>
      </x:c>
      <x:c r="L10" s="26" t="str">
        <x:v>NOT_MAPPED</x:v>
      </x:c>
      <x:c r="M10" s="26" t="str">
        <x:v>NOT_APPLICABLE</x:v>
      </x:c>
      <x:c r="N10" s="26" t="str">
        <x:v>No item-level evidence mapping completed in this tracker.</x:v>
      </x:c>
      <x:c r="O10" s="26" t="str">
        <x:v>Map existing exact evidence first; implement only a demonstrated gap, then satisfy this row's closure condition.</x:v>
      </x:c>
      <x:c r="P10" s="26" t="str">
        <x:v>S01, S09 | §29</x:v>
      </x:c>
      <x:c r="Q10" s="26" t="str">
        <x:v>https://github.com/sarmadkhan17/Luffy/blob/9385f792f32277bb0b826dba83247b8f5ccf1f8a/SDD.md</x:v>
      </x:c>
    </x:row>
    <x:row r="11" ht="92" customHeight="1">
      <x:c r="A11" s="30" t="str">
        <x:v>GOV-05</x:v>
      </x:c>
      <x:c r="B11" s="26" t="str">
        <x:v>Product &amp; governance</x:v>
      </x:c>
      <x:c r="C11" s="26" t="str">
        <x:v>BASELINE</x:v>
      </x:c>
      <x:c r="D11" s="26" t="str">
        <x:v>EVIDENCE_TO_MAP</x:v>
      </x:c>
      <x:c r="E11" s="26" t="str">
        <x:v>Preserve historical closures and attribute regressions.</x:v>
      </x:c>
      <x:c r="F11" s="26" t="str">
        <x:v>Avoids reopening all work whenever one symptom appears.</x:v>
      </x:c>
      <x:c r="G11" s="26" t="str">
        <x:v>A reopened item retains its old closure, identifies the violated invariant and new reproducer, and links the introducing change when known.</x:v>
      </x:c>
      <x:c r="H11" s="26" t="str">
        <x:v>Unknown origin stays UNKNOWN; tests/old evidence are not rewritten to erase the failure.</x:v>
      </x:c>
      <x:c r="I11" s="26" t="str">
        <x:v>Prereqs: GOV-02</x:v>
      </x:c>
      <x:c r="J11" s="26" t="str">
        <x:v>Owner + engineering coordinator</x:v>
      </x:c>
      <x:c r="K11" s="26" t="str">
        <x:v>NOT_MAPPED</x:v>
      </x:c>
      <x:c r="L11" s="26" t="str">
        <x:v>NOT_MAPPED</x:v>
      </x:c>
      <x:c r="M11" s="26" t="str">
        <x:v>NOT_APPLICABLE</x:v>
      </x:c>
      <x:c r="N11" s="26" t="str">
        <x:v>No item-level evidence mapping completed in this tracker.</x:v>
      </x:c>
      <x:c r="O11" s="26" t="str">
        <x:v>Map existing exact evidence first; implement only a demonstrated gap, then satisfy this row's closure condition.</x:v>
      </x:c>
      <x:c r="P11" s="26" t="str">
        <x:v>S01, S09 | §§28,31</x:v>
      </x:c>
      <x:c r="Q11" s="26" t="str">
        <x:v>https://github.com/sarmadkhan17/Luffy/blob/9385f792f32277bb0b826dba83247b8f5ccf1f8a/SDD.md</x:v>
      </x:c>
    </x:row>
    <x:row r="12" ht="92" customHeight="1">
      <x:c r="A12" s="30" t="str">
        <x:v>GOV-06</x:v>
      </x:c>
      <x:c r="B12" s="26" t="str">
        <x:v>Product &amp; governance</x:v>
      </x:c>
      <x:c r="C12" s="26" t="str">
        <x:v>BASELINE</x:v>
      </x:c>
      <x:c r="D12" s="26" t="str">
        <x:v>EVIDENCE_TO_MAP</x:v>
      </x:c>
      <x:c r="E12" s="26" t="str">
        <x:v>Freeze an acceptance contract before work and version approved changes.</x:v>
      </x:c>
      <x:c r="F12" s="26" t="str">
        <x:v>Stops the prepare/execute contract drift seen in the observation harness.</x:v>
      </x:c>
      <x:c r="G12" s="26" t="str">
        <x:v>Requirement, run mode, time basis, stop conditions and proof scope are agreed before execution; changes have reason and owner decision.</x:v>
      </x:c>
      <x:c r="H12" s="26" t="str">
        <x:v>A changed acceptance criterion cannot retroactively turn old evidence into PASS.</x:v>
      </x:c>
      <x:c r="I12" s="26" t="str">
        <x:v>Prereqs: GOV-02</x:v>
      </x:c>
      <x:c r="J12" s="26" t="str">
        <x:v>Owner + engineering coordinator</x:v>
      </x:c>
      <x:c r="K12" s="26" t="str">
        <x:v>NOT_MAPPED</x:v>
      </x:c>
      <x:c r="L12" s="26" t="str">
        <x:v>NOT_MAPPED</x:v>
      </x:c>
      <x:c r="M12" s="26" t="str">
        <x:v>NOT_APPLICABLE</x:v>
      </x:c>
      <x:c r="N12" s="26" t="str">
        <x:v>No item-level evidence mapping completed in this tracker.</x:v>
      </x:c>
      <x:c r="O12" s="26" t="str">
        <x:v>Map existing exact evidence first; implement only a demonstrated gap, then satisfy this row's closure condition.</x:v>
      </x:c>
      <x:c r="P12" s="26" t="str">
        <x:v>S01, S09 | Owner tracker requirement; §§28,31</x:v>
      </x:c>
      <x:c r="Q12" s="26" t="str">
        <x:v>https://github.com/sarmadkhan17/Luffy/blob/9385f792f32277bb0b826dba83247b8f5ccf1f8a/SDD.md</x:v>
      </x:c>
    </x:row>
    <x:row r="13" ht="92" customHeight="1">
      <x:c r="A13" s="30" t="str">
        <x:v>GOV-07</x:v>
      </x:c>
      <x:c r="B13" s="26" t="str">
        <x:v>Product &amp; governance</x:v>
      </x:c>
      <x:c r="C13" s="26" t="str">
        <x:v>BASELINE</x:v>
      </x:c>
      <x:c r="D13" s="26" t="str">
        <x:v>EVIDENCE_TO_MAP</x:v>
      </x:c>
      <x:c r="E13" s="26" t="str">
        <x:v>Preserve exact code/config/run identity and safe branch provenance.</x:v>
      </x:c>
      <x:c r="F13" s="26" t="str">
        <x:v>Ensures evidence applies to the deployed system rather than an old checkout.</x:v>
      </x:c>
      <x:c r="G13" s="26" t="str">
        <x:v>Source and evidence artifacts identify revision, configuration, run/process and timestamps; deployment records match remote/local code.</x:v>
      </x:c>
      <x:c r="H13" s="26" t="str">
        <x:v>Dirty variants remain labelled unverified; no automatic merge of historical checkpoint branches.</x:v>
      </x:c>
      <x:c r="I13" s="26" t="str">
        <x:v>Prereqs: GOV-01</x:v>
      </x:c>
      <x:c r="J13" s="26" t="str">
        <x:v>Owner + engineering coordinator</x:v>
      </x:c>
      <x:c r="K13" s="26" t="str">
        <x:v>NOT_MAPPED</x:v>
      </x:c>
      <x:c r="L13" s="26" t="str">
        <x:v>NOT_MAPPED</x:v>
      </x:c>
      <x:c r="M13" s="26" t="str">
        <x:v>NOT_APPLICABLE</x:v>
      </x:c>
      <x:c r="N13" s="26" t="str">
        <x:v>No item-level evidence mapping completed in this tracker.</x:v>
      </x:c>
      <x:c r="O13" s="26" t="str">
        <x:v>Map existing exact evidence first; implement only a demonstrated gap, then satisfy this row's closure condition.</x:v>
      </x:c>
      <x:c r="P13" s="26" t="str">
        <x:v>S01, S09 | §§6.5,27,31</x:v>
      </x:c>
      <x:c r="Q13" s="26" t="str">
        <x:v>https://github.com/sarmadkhan17/Luffy/blob/9385f792f32277bb0b826dba83247b8f5ccf1f8a/SDD.md</x:v>
      </x:c>
    </x:row>
    <x:row r="14" ht="92" customHeight="1">
      <x:c r="A14" s="30" t="str">
        <x:v>GOV-08</x:v>
      </x:c>
      <x:c r="B14" s="26" t="str">
        <x:v>Product &amp; governance</x:v>
      </x:c>
      <x:c r="C14" s="26" t="str">
        <x:v>BASELINE</x:v>
      </x:c>
      <x:c r="D14" s="26" t="str">
        <x:v>EVIDENCE_TO_MAP</x:v>
      </x:c>
      <x:c r="E14" s="26" t="str">
        <x:v>Keep within approved implementation scope and distinguish future capabilities.</x:v>
      </x:c>
      <x:c r="F14" s="26" t="str">
        <x:v>Protects the initial product from speculative expansion.</x:v>
      </x:c>
      <x:c r="G14" s="26" t="str">
        <x:v>Mandatory current items, conditional scope, policy/evidence blockers and optional future items are separately labelled and counted.</x:v>
      </x:c>
      <x:c r="H14" s="26" t="str">
        <x:v>An optional method/example in SDD cannot become a new mandatory feature without approval.</x:v>
      </x:c>
      <x:c r="I14" s="26" t="str">
        <x:v>Prereqs: GOV-01</x:v>
      </x:c>
      <x:c r="J14" s="26" t="str">
        <x:v>Owner + engineering coordinator</x:v>
      </x:c>
      <x:c r="K14" s="26" t="str">
        <x:v>NOT_MAPPED</x:v>
      </x:c>
      <x:c r="L14" s="26" t="str">
        <x:v>NOT_MAPPED</x:v>
      </x:c>
      <x:c r="M14" s="26" t="str">
        <x:v>NOT_APPLICABLE</x:v>
      </x:c>
      <x:c r="N14" s="26" t="str">
        <x:v>No item-level evidence mapping completed in this tracker.</x:v>
      </x:c>
      <x:c r="O14" s="26" t="str">
        <x:v>Map existing exact evidence first; implement only a demonstrated gap, then satisfy this row's closure condition.</x:v>
      </x:c>
      <x:c r="P14" s="26" t="str">
        <x:v>S01, S09 | §§2,3,30</x:v>
      </x:c>
      <x:c r="Q14" s="26" t="str">
        <x:v>https://github.com/sarmadkhan17/Luffy/blob/9385f792f32277bb0b826dba83247b8f5ccf1f8a/SDD.md</x:v>
      </x:c>
    </x:row>
    <x:row r="15" ht="92" customHeight="1">
      <x:c r="A15" s="30" t="str">
        <x:v>GOV-09</x:v>
      </x:c>
      <x:c r="B15" s="26" t="str">
        <x:v>Product &amp; governance</x:v>
      </x:c>
      <x:c r="C15" s="26" t="str">
        <x:v>BASELINE</x:v>
      </x:c>
      <x:c r="D15" s="26" t="str">
        <x:v>EVIDENCE_TO_MAP</x:v>
      </x:c>
      <x:c r="E15" s="26" t="str">
        <x:v>Do not allow runtime self-rewriting of production architecture.</x:v>
      </x:c>
      <x:c r="F15" s="26" t="str">
        <x:v>Preserves deterministic ownership and safe engineering control.</x:v>
      </x:c>
      <x:c r="G15" s="26" t="str">
        <x:v>Capability gaps produce evidence and owner-facing requests; code/design changes go through approved engineering.</x:v>
      </x:c>
      <x:c r="H15" s="26" t="str">
        <x:v>LLM, scraper, UI and research cannot write production code or silently change target architecture.</x:v>
      </x:c>
      <x:c r="I15" s="26" t="str">
        <x:v>Prereqs: GOV-01</x:v>
      </x:c>
      <x:c r="J15" s="26" t="str">
        <x:v>Owner + engineering coordinator</x:v>
      </x:c>
      <x:c r="K15" s="26" t="str">
        <x:v>NOT_MAPPED</x:v>
      </x:c>
      <x:c r="L15" s="26" t="str">
        <x:v>NOT_MAPPED</x:v>
      </x:c>
      <x:c r="M15" s="26" t="str">
        <x:v>NOT_APPLICABLE</x:v>
      </x:c>
      <x:c r="N15" s="26" t="str">
        <x:v>No item-level evidence mapping completed in this tracker.</x:v>
      </x:c>
      <x:c r="O15" s="26" t="str">
        <x:v>Map existing exact evidence first; implement only a demonstrated gap, then satisfy this row's closure condition.</x:v>
      </x:c>
      <x:c r="P15" s="26" t="str">
        <x:v>S01, S09 | §§2.5,24,37</x:v>
      </x:c>
      <x:c r="Q15" s="26" t="str">
        <x:v>https://github.com/sarmadkhan17/Luffy/blob/9385f792f32277bb0b826dba83247b8f5ccf1f8a/SDD.md</x:v>
      </x:c>
    </x:row>
    <x:row r="16" ht="92" customHeight="1">
      <x:c r="A16" s="30" t="str">
        <x:v>GOV-10</x:v>
      </x:c>
      <x:c r="B16" s="26" t="str">
        <x:v>Product &amp; governance</x:v>
      </x:c>
      <x:c r="C16" s="26" t="str">
        <x:v>ECONOMIC_MATURITY</x:v>
      </x:c>
      <x:c r="D16" s="26" t="str">
        <x:v>AWAITING_EVIDENCE</x:v>
      </x:c>
      <x:c r="E16" s="26" t="str">
        <x:v>Measure sustainable net account growth and economic self-sufficiency honestly.</x:v>
      </x:c>
      <x:c r="F16" s="26" t="str">
        <x:v>Keeps the product aimed at economic value rather than activity counts.</x:v>
      </x:c>
      <x:c r="G16" s="26" t="str">
        <x:v>Versioned reports reconcile net trading contribution and approved operating costs over an owner-defined period, distinguishing estimates and unknowns.</x:v>
      </x:c>
      <x:c r="H16" s="26" t="str">
        <x:v>No trade quota, risk increase or fabricated profitability to meet an operating-cost target.</x:v>
      </x:c>
      <x:c r="I16" s="26" t="str">
        <x:v>Prereqs: ACC-01, ACC-03, LLM-03</x:v>
      </x:c>
      <x:c r="J16" s="26" t="str">
        <x:v>Owner + engineering coordinator</x:v>
      </x:c>
      <x:c r="K16" s="26" t="str">
        <x:v>NOT_MAPPED</x:v>
      </x:c>
      <x:c r="L16" s="26" t="str">
        <x:v>NOT_MAPPED</x:v>
      </x:c>
      <x:c r="M16" s="26" t="str">
        <x:v>NOT_APPLICABLE</x:v>
      </x:c>
      <x:c r="N16" s="26" t="str">
        <x:v>No item-level evidence mapping completed in this tracker.</x:v>
      </x:c>
      <x:c r="O16" s="26" t="str">
        <x:v>Map existing exact evidence first; implement only a demonstrated gap, then satisfy this row's closure condition.</x:v>
      </x:c>
      <x:c r="P16" s="26" t="str">
        <x:v>S01, S09 | §§1,2.1,2.9</x:v>
      </x:c>
      <x:c r="Q16" s="26" t="str">
        <x:v>https://github.com/sarmadkhan17/Luffy/blob/9385f792f32277bb0b826dba83247b8f5ccf1f8a/SDD.md</x:v>
      </x:c>
    </x:row>
    <x:row r="17" ht="92" customHeight="1">
      <x:c r="A17" s="30" t="str">
        <x:v>RUN-01</x:v>
      </x:c>
      <x:c r="B17" s="26" t="str">
        <x:v>Runtime &amp; safety</x:v>
      </x:c>
      <x:c r="C17" s="26" t="str">
        <x:v>BASELINE</x:v>
      </x:c>
      <x:c r="D17" s="26" t="str">
        <x:v>EVIDENCE_TO_MAP</x:v>
      </x:c>
      <x:c r="E17" s="26" t="str">
        <x:v>Start and stop one identifiable Kernel and compatible Dashboard safely.</x:v>
      </x:c>
      <x:c r="F17" s="26" t="str">
        <x:v>Prevents duplicate processes and startup on the wrong code.</x:v>
      </x:c>
      <x:c r="G17" s="26" t="str">
        <x:v>Fresh identity/preflight checks, ordered boot, truthful new-instance heartbeat and graceful shutdown are demonstrated on the intended revision.</x:v>
      </x:c>
      <x:c r="H17" s="26" t="str">
        <x:v>Boot failure or shutdown timeout cannot create a second Kernel or remove needed observation.</x:v>
      </x:c>
      <x:c r="I17" s="26" t="str">
        <x:v>Prereqs: GOV-07</x:v>
      </x:c>
      <x:c r="J17" s="26" t="str">
        <x:v>Runtime &amp; safety owner</x:v>
      </x:c>
      <x:c r="K17" s="26" t="str">
        <x:v>STAGE_LEVEL_HISTORY_ONLY</x:v>
      </x:c>
      <x:c r="L17" s="26" t="str">
        <x:v>NOT_MAPPED</x:v>
      </x:c>
      <x:c r="M17" s="26" t="str">
        <x:v>NOT_APPLICABLE</x:v>
      </x:c>
      <x:c r="N17" s="26" t="str">
        <x:v>S16: controlled launch and graceful stop reported; Dashboard correctly withheld because boot/observation gate did not pass. Historical stage/package build claims exist; not yet mapped to this exact row. This is not a missing-implementation finding and does not reopen prior closures.</x:v>
      </x:c>
      <x:c r="O17" s="26" t="str">
        <x:v>Map existing exact evidence first; implement only a demonstrated gap, then satisfy this row's closure condition.</x:v>
      </x:c>
      <x:c r="P17" s="26" t="str">
        <x:v>S01, S02, S05, S15, S16 | §§5.5,27</x:v>
      </x:c>
      <x:c r="Q17" s="26" t="str">
        <x:v>https://github.com/sarmadkhan17/Luffy/blob/9385f792f32277bb0b826dba83247b8f5ccf1f8a/SDD.md</x:v>
      </x:c>
    </x:row>
    <x:row r="18" ht="92" customHeight="1">
      <x:c r="A18" s="30" t="str">
        <x:v>RUN-02</x:v>
      </x:c>
      <x:c r="B18" s="26" t="str">
        <x:v>Runtime &amp; safety</x:v>
      </x:c>
      <x:c r="C18" s="26" t="str">
        <x:v>BASELINE</x:v>
      </x:c>
      <x:c r="D18" s="26" t="str">
        <x:v>EVIDENCE_TO_MAP</x:v>
      </x:c>
      <x:c r="E18" s="26" t="str">
        <x:v>Preserve ACTIVE/FROZEN/HALTED/RECOVERY semantics and newer owner intent.</x:v>
      </x:c>
      <x:c r="F18" s="26" t="str">
        <x:v>Containment must defeat stale queued work.</x:v>
      </x:c>
      <x:c r="G18" s="26" t="str">
        <x:v>Normal admission, queued requests and restarts respect current persisted control; ACTIVE still needs exact Risk authorization.</x:v>
      </x:c>
      <x:c r="H18" s="26" t="str">
        <x:v>FROZEN/HALTED/RECOVERY cannot create new exposure; a newer freeze wins.</x:v>
      </x:c>
      <x:c r="I18" s="26" t="str">
        <x:v>Prereqs: RISK-01</x:v>
      </x:c>
      <x:c r="J18" s="26" t="str">
        <x:v>Runtime &amp; safety owner</x:v>
      </x:c>
      <x:c r="K18" s="26" t="str">
        <x:v>STAGE_LEVEL_HISTORY_ONLY</x:v>
      </x:c>
      <x:c r="L18" s="26" t="str">
        <x:v>NOT_MAPPED</x:v>
      </x:c>
      <x:c r="M18" s="26" t="str">
        <x:v>NOT_APPLICABLE</x:v>
      </x:c>
      <x:c r="N18" s="26" t="str">
        <x:v>Historical stage/package build claims exist; not yet mapped to this exact row. This is not a missing-implementation finding and does not reopen prior closures.</x:v>
      </x:c>
      <x:c r="O18" s="26" t="str">
        <x:v>Map existing exact evidence first; implement only a demonstrated gap, then satisfy this row's closure condition.</x:v>
      </x:c>
      <x:c r="P18" s="26" t="str">
        <x:v>S01, S02, S05, S15 | §§17,27,28.2</x:v>
      </x:c>
      <x:c r="Q18" s="26" t="str">
        <x:v>https://github.com/sarmadkhan17/Luffy/blob/9385f792f32277bb0b826dba83247b8f5ccf1f8a/SDD.md</x:v>
      </x:c>
    </x:row>
    <x:row r="19" ht="92" customHeight="1">
      <x:c r="A19" s="30" t="str">
        <x:v>RUN-03</x:v>
      </x:c>
      <x:c r="B19" s="26" t="str">
        <x:v>Runtime &amp; safety</x:v>
      </x:c>
      <x:c r="C19" s="26" t="str">
        <x:v>BASELINE</x:v>
      </x:c>
      <x:c r="D19" s="26" t="str">
        <x:v>EVIDENCE_TO_MAP</x:v>
      </x:c>
      <x:c r="E19" s="26" t="str">
        <x:v>Keep the live cycle within the approved operational envelope.</x:v>
      </x:c>
      <x:c r="F19" s="26" t="str">
        <x:v>Protects observation, exits and response timeliness.</x:v>
      </x:c>
      <x:c r="G19" s="26" t="str">
        <x:v>On one identified representative run, agreed startup and recurring timing criteria are met with real successful-heartbeat gaps, full declared coverage and disclosed workload.</x:v>
      </x:c>
      <x:c r="H19" s="26" t="str">
        <x:v>No increased threshold, fabricated heartbeat or silent workload reduction to obtain PASS.</x:v>
      </x:c>
      <x:c r="I19" s="26" t="str">
        <x:v>Prereqs: RUN-01, MON-01</x:v>
      </x:c>
      <x:c r="J19" s="26" t="str">
        <x:v>Runtime &amp; safety owner</x:v>
      </x:c>
      <x:c r="K19" s="26" t="str">
        <x:v>STAGE_LEVEL_HISTORY_ONLY</x:v>
      </x:c>
      <x:c r="L19" s="26" t="str">
        <x:v>NOT_MAPPED</x:v>
      </x:c>
      <x:c r="M19" s="26" t="str">
        <x:v>NOT_APPLICABLE</x:v>
      </x:c>
      <x:c r="N19" s="26" t="str">
        <x:v>S16: first cycle exceeded 240s; no completed window cycles or steady-state proof. Historical stage/package build claims exist; not yet mapped to this exact row. This is not a missing-implementation finding and does not reopen prior closures.</x:v>
      </x:c>
      <x:c r="O19" s="26" t="str">
        <x:v>Map existing exact evidence first; implement only a demonstrated gap, then satisfy this row's closure condition.</x:v>
      </x:c>
      <x:c r="P19" s="26" t="str">
        <x:v>S01, S02, S05, S15, S16 | §§5.1,5.4,5.5,24</x:v>
      </x:c>
      <x:c r="Q19" s="26" t="str">
        <x:v>https://github.com/sarmadkhan17/Luffy/blob/9385f792f32277bb0b826dba83247b8f5ccf1f8a/SDD.md</x:v>
      </x:c>
    </x:row>
    <x:row r="20" ht="92" customHeight="1">
      <x:c r="A20" s="30" t="str">
        <x:v>RUN-04</x:v>
      </x:c>
      <x:c r="B20" s="26" t="str">
        <x:v>Runtime &amp; safety</x:v>
      </x:c>
      <x:c r="C20" s="26" t="str">
        <x:v>BASELINE</x:v>
      </x:c>
      <x:c r="D20" s="26" t="str">
        <x:v>EVIDENCE_TO_MAP</x:v>
      </x:c>
      <x:c r="E20" s="26" t="str">
        <x:v>Give research lower resource priority without hiding execution starvation.</x:v>
      </x:c>
      <x:c r="F20" s="26" t="str">
        <x:v>Trading safety and research progress both need an explicit schedule.</x:v>
      </x:c>
      <x:c r="G20" s="26" t="str">
        <x:v>Measured resource backoff protects live work; worker eligibility, busy refusals and starvation are observable; approved available research work can run when its gates permit.</x:v>
      </x:c>
      <x:c r="H20" s="26" t="str">
        <x:v>No force-enable, unbounded concurrency, relaxed 45s gate or claim of research execution when blocked.</x:v>
      </x:c>
      <x:c r="I20" s="26" t="str">
        <x:v>Prereqs: RUN-03, RES-01</x:v>
      </x:c>
      <x:c r="J20" s="26" t="str">
        <x:v>Runtime &amp; safety owner</x:v>
      </x:c>
      <x:c r="K20" s="26" t="str">
        <x:v>STAGE_LEVEL_HISTORY_ONLY</x:v>
      </x:c>
      <x:c r="L20" s="26" t="str">
        <x:v>NOT_MAPPED</x:v>
      </x:c>
      <x:c r="M20" s="26" t="str">
        <x:v>NOT_APPLICABLE</x:v>
      </x:c>
      <x:c r="N20" s="26" t="str">
        <x:v>Historical stage/package build claims exist; not yet mapped to this exact row. This is not a missing-implementation finding and does not reopen prior closures.</x:v>
      </x:c>
      <x:c r="O20" s="26" t="str">
        <x:v>Map existing exact evidence first; implement only a demonstrated gap, then satisfy this row's closure condition.</x:v>
      </x:c>
      <x:c r="P20" s="26" t="str">
        <x:v>S01, S02, S05, S15 | §§5.1–5.4,12</x:v>
      </x:c>
      <x:c r="Q20" s="26" t="str">
        <x:v>https://github.com/sarmadkhan17/Luffy/blob/9385f792f32277bb0b826dba83247b8f5ccf1f8a/SDD.md</x:v>
      </x:c>
    </x:row>
    <x:row r="21" ht="92" customHeight="1">
      <x:c r="A21" s="30" t="str">
        <x:v>RUN-05</x:v>
      </x:c>
      <x:c r="B21" s="26" t="str">
        <x:v>Runtime &amp; safety</x:v>
      </x:c>
      <x:c r="C21" s="26" t="str">
        <x:v>BASELINE</x:v>
      </x:c>
      <x:c r="D21" s="26" t="str">
        <x:v>EVIDENCE_TO_MAP</x:v>
      </x:c>
      <x:c r="E21" s="26" t="str">
        <x:v>Preserve observation and protection during provider/network outages.</x:v>
      </x:c>
      <x:c r="F21" s="26" t="str">
        <x:v>LLM availability must not control normal live operation.</x:v>
      </x:c>
      <x:c r="G21" s="26" t="str">
        <x:v>Provider-disabled/outage tests and bounded runtime show deterministic observation, Risk and protection still functioning.</x:v>
      </x:c>
      <x:c r="H21" s="26" t="str">
        <x:v>Provider timeout/outage cannot become permission or silently block all required safety servicing.</x:v>
      </x:c>
      <x:c r="I21" s="26" t="str">
        <x:v>Prereqs: LLM-01, EXE-05</x:v>
      </x:c>
      <x:c r="J21" s="26" t="str">
        <x:v>Runtime &amp; safety owner</x:v>
      </x:c>
      <x:c r="K21" s="26" t="str">
        <x:v>STAGE_LEVEL_HISTORY_ONLY</x:v>
      </x:c>
      <x:c r="L21" s="26" t="str">
        <x:v>NOT_MAPPED</x:v>
      </x:c>
      <x:c r="M21" s="26" t="str">
        <x:v>NOT_APPLICABLE</x:v>
      </x:c>
      <x:c r="N21" s="26" t="str">
        <x:v>Historical stage/package build claims exist; not yet mapped to this exact row. This is not a missing-implementation finding and does not reopen prior closures.</x:v>
      </x:c>
      <x:c r="O21" s="26" t="str">
        <x:v>Map existing exact evidence first; implement only a demonstrated gap, then satisfy this row's closure condition.</x:v>
      </x:c>
      <x:c r="P21" s="26" t="str">
        <x:v>S01, S02, S05, S15 | §§4.2,22.3</x:v>
      </x:c>
      <x:c r="Q21" s="26" t="str">
        <x:v>https://github.com/sarmadkhan17/Luffy/blob/9385f792f32277bb0b826dba83247b8f5ccf1f8a/SDD.md</x:v>
      </x:c>
    </x:row>
    <x:row r="22" ht="92" customHeight="1">
      <x:c r="A22" s="30" t="str">
        <x:v>RUN-06</x:v>
      </x:c>
      <x:c r="B22" s="26" t="str">
        <x:v>Runtime &amp; safety</x:v>
      </x:c>
      <x:c r="C22" s="26" t="str">
        <x:v>BASELINE</x:v>
      </x:c>
      <x:c r="D22" s="26" t="str">
        <x:v>EVIDENCE_TO_MAP</x:v>
      </x:c>
      <x:c r="E22" s="26" t="str">
        <x:v>Respect measured local CPU/RAM/storage bounds and background contention.</x:v>
      </x:c>
      <x:c r="F22" s="26" t="str">
        <x:v>Prevents another storage or scheduling collapse.</x:v>
      </x:c>
      <x:c r="G22" s="26" t="str">
        <x:v>Per-stage and per-writer measurements identify pressure, enforce existing resource policies and expose throttled work on the target VM.</x:v>
      </x:c>
      <x:c r="H22" s="26" t="str">
        <x:v>No unbounded buffers, backlog, storage growth or expensive work in critical write locks without evidence and bounds.</x:v>
      </x:c>
      <x:c r="I22" s="26" t="str">
        <x:v>Prereqs: MON-05, DATA-09</x:v>
      </x:c>
      <x:c r="J22" s="26" t="str">
        <x:v>Runtime &amp; safety owner</x:v>
      </x:c>
      <x:c r="K22" s="26" t="str">
        <x:v>STAGE_LEVEL_HISTORY_ONLY</x:v>
      </x:c>
      <x:c r="L22" s="26" t="str">
        <x:v>NOT_MAPPED</x:v>
      </x:c>
      <x:c r="M22" s="26" t="str">
        <x:v>NOT_APPLICABLE</x:v>
      </x:c>
      <x:c r="N22" s="26" t="str">
        <x:v>Historical stage/package build claims exist; not yet mapped to this exact row. This is not a missing-implementation finding and does not reopen prior closures.</x:v>
      </x:c>
      <x:c r="O22" s="26" t="str">
        <x:v>Map existing exact evidence first; implement only a demonstrated gap, then satisfy this row's closure condition.</x:v>
      </x:c>
      <x:c r="P22" s="26" t="str">
        <x:v>S01, S02, S05, S15 | §§3,5,6.6,24</x:v>
      </x:c>
      <x:c r="Q22" s="26" t="str">
        <x:v>https://github.com/sarmadkhan17/Luffy/blob/9385f792f32277bb0b826dba83247b8f5ccf1f8a/SDD.md</x:v>
      </x:c>
    </x:row>
    <x:row r="23" ht="92" customHeight="1">
      <x:c r="A23" s="30" t="str">
        <x:v>RUN-07</x:v>
      </x:c>
      <x:c r="B23" s="26" t="str">
        <x:v>Runtime &amp; safety</x:v>
      </x:c>
      <x:c r="C23" s="26" t="str">
        <x:v>BASELINE</x:v>
      </x:c>
      <x:c r="D23" s="26" t="str">
        <x:v>EVIDENCE_TO_MAP</x:v>
      </x:c>
      <x:c r="E23" s="26" t="str">
        <x:v>Keep engineering tooling out of the normal trading dependency path.</x:v>
      </x:c>
      <x:c r="F23" s="26" t="str">
        <x:v>Graphify or development tools must not stop runtime safety.</x:v>
      </x:c>
      <x:c r="G23" s="26" t="str">
        <x:v>Normal runtime works without Graphify, engineering CLI login or AI coding access; tooling remains engineering-only.</x:v>
      </x:c>
      <x:c r="H23" s="26" t="str">
        <x:v>Missing engineering tooling does not disable deterministic runtime or trigger a paid fallback.</x:v>
      </x:c>
      <x:c r="I23" s="26" t="str">
        <x:v>Prereqs: GOV-09</x:v>
      </x:c>
      <x:c r="J23" s="26" t="str">
        <x:v>Runtime &amp; safety owner</x:v>
      </x:c>
      <x:c r="K23" s="26" t="str">
        <x:v>STAGE_LEVEL_HISTORY_ONLY</x:v>
      </x:c>
      <x:c r="L23" s="26" t="str">
        <x:v>NOT_MAPPED</x:v>
      </x:c>
      <x:c r="M23" s="26" t="str">
        <x:v>NOT_APPLICABLE</x:v>
      </x:c>
      <x:c r="N23" s="26" t="str">
        <x:v>Historical stage/package build claims exist; not yet mapped to this exact row. This is not a missing-implementation finding and does not reopen prior closures.</x:v>
      </x:c>
      <x:c r="O23" s="26" t="str">
        <x:v>Map existing exact evidence first; implement only a demonstrated gap, then satisfy this row's closure condition.</x:v>
      </x:c>
      <x:c r="P23" s="26" t="str">
        <x:v>S01, S02, S05, S15 | §23.4</x:v>
      </x:c>
      <x:c r="Q23" s="26" t="str">
        <x:v>https://github.com/sarmadkhan17/Luffy/blob/9385f792f32277bb0b826dba83247b8f5ccf1f8a/SDD.md</x:v>
      </x:c>
    </x:row>
    <x:row r="24" ht="92" customHeight="1">
      <x:c r="A24" s="30" t="str">
        <x:v>MON-01</x:v>
      </x:c>
      <x:c r="B24" s="26" t="str">
        <x:v>Runtime &amp; safety</x:v>
      </x:c>
      <x:c r="C24" s="26" t="str">
        <x:v>BASELINE</x:v>
      </x:c>
      <x:c r="D24" s="26" t="str">
        <x:v>EVIDENCE_TO_MAP</x:v>
      </x:c>
      <x:c r="E24" s="26" t="str">
        <x:v>Observe missing/stale/malformed heartbeat independently of its producer.</x:v>
      </x:c>
      <x:c r="F24" s="26" t="str">
        <x:v>A dead producer cannot be the only detector of its death.</x:v>
      </x:c>
      <x:c r="G24" s="26" t="str">
        <x:v>Independent observer verifies instance, sequence, chronology, publication age and successful-work age under configured policy and emits bounded alerts.</x:v>
      </x:c>
      <x:c r="H24" s="26" t="str">
        <x:v>Dead/stale/restarted/restamped/future/malformed cases never become fresh; prior-instance startup is not new success.</x:v>
      </x:c>
      <x:c r="I24" s="26" t="str">
        <x:v>Prereqs: RUN-01</x:v>
      </x:c>
      <x:c r="J24" s="26" t="str">
        <x:v>Runtime &amp; safety owner</x:v>
      </x:c>
      <x:c r="K24" s="26" t="str">
        <x:v>STAGE_LEVEL_HISTORY_ONLY</x:v>
      </x:c>
      <x:c r="L24" s="26" t="str">
        <x:v>NOT_MAPPED</x:v>
      </x:c>
      <x:c r="M24" s="26" t="str">
        <x:v>NOT_APPLICABLE</x:v>
      </x:c>
      <x:c r="N24" s="26" t="str">
        <x:v>Historical stage/package build claims exist; not yet mapped to this exact row. This is not a missing-implementation finding and does not reopen prior closures.</x:v>
      </x:c>
      <x:c r="O24" s="26" t="str">
        <x:v>Map existing exact evidence first; implement only a demonstrated gap, then satisfy this row's closure condition.</x:v>
      </x:c>
      <x:c r="P24" s="26" t="str">
        <x:v>S01, S02, S05, S15 | §§5.5,24.1,27</x:v>
      </x:c>
      <x:c r="Q24" s="26" t="str">
        <x:v>https://github.com/sarmadkhan17/Luffy/blob/9385f792f32277bb0b826dba83247b8f5ccf1f8a/SDD.md</x:v>
      </x:c>
    </x:row>
    <x:row r="25" ht="92" customHeight="1">
      <x:c r="A25" s="30" t="str">
        <x:v>MON-02</x:v>
      </x:c>
      <x:c r="B25" s="26" t="str">
        <x:v>Runtime &amp; safety</x:v>
      </x:c>
      <x:c r="C25" s="26" t="str">
        <x:v>BASELINE</x:v>
      </x:c>
      <x:c r="D25" s="26" t="str">
        <x:v>EVIDENCE_TO_MAP</x:v>
      </x:c>
      <x:c r="E25" s="26" t="str">
        <x:v>Prove critical-store read and committed-write availability without hiding contention.</x:v>
      </x:c>
      <x:c r="F25" s="26" t="str">
        <x:v>Distinguishes a busy writer from actual storage/I/O failure.</x:v>
      </x:c>
      <x:c r="G25" s="26" t="str">
        <x:v>Bounded probes capture SQLite phase/code and claim writable only after commit; persistent BUSY, FULL, READONLY and IOERR remain explicit and fail closed.</x:v>
      </x:c>
      <x:c r="H25" s="26" t="str">
        <x:v>Genuine storage failure cannot be erased by retry, cached success or an unknown error class.</x:v>
      </x:c>
      <x:c r="I25" s="26" t="str">
        <x:v>Prereqs: DATA-02</x:v>
      </x:c>
      <x:c r="J25" s="26" t="str">
        <x:v>Runtime &amp; safety owner</x:v>
      </x:c>
      <x:c r="K25" s="26" t="str">
        <x:v>STAGE_LEVEL_HISTORY_ONLY</x:v>
      </x:c>
      <x:c r="L25" s="26" t="str">
        <x:v>NOT_MAPPED</x:v>
      </x:c>
      <x:c r="M25" s="26" t="str">
        <x:v>NOT_APPLICABLE</x:v>
      </x:c>
      <x:c r="N25" s="26" t="str">
        <x:v>Historical stage/package build claims exist; not yet mapped to this exact row. This is not a missing-implementation finding and does not reopen prior closures.</x:v>
      </x:c>
      <x:c r="O25" s="26" t="str">
        <x:v>Map existing exact evidence first; implement only a demonstrated gap, then satisfy this row's closure condition.</x:v>
      </x:c>
      <x:c r="P25" s="26" t="str">
        <x:v>S01, S02, S05, S15 | §§6.6,24,28.5</x:v>
      </x:c>
      <x:c r="Q25" s="26" t="str">
        <x:v>https://github.com/sarmadkhan17/Luffy/blob/9385f792f32277bb0b826dba83247b8f5ccf1f8a/SDD.md</x:v>
      </x:c>
    </x:row>
    <x:row r="26" ht="92" customHeight="1">
      <x:c r="A26" s="30" t="str">
        <x:v>MON-03</x:v>
      </x:c>
      <x:c r="B26" s="26" t="str">
        <x:v>Runtime &amp; safety</x:v>
      </x:c>
      <x:c r="C26" s="26" t="str">
        <x:v>BASELINE</x:v>
      </x:c>
      <x:c r="D26" s="26" t="str">
        <x:v>EVIDENCE_TO_MAP</x:v>
      </x:c>
      <x:c r="E26" s="26" t="str">
        <x:v>Separate live health checks from full integrity maintenance.</x:v>
      </x:c>
      <x:c r="F26" s="26" t="str">
        <x:v>A multi-minute inspection must not block immediate health detection.</x:v>
      </x:c>
      <x:c r="G26" s="26" t="str">
        <x:v>Independent heartbeat checks remain timely while configured integrity maintenance and live probes report distinct status and cost.</x:v>
      </x:c>
      <x:c r="H26" s="26" t="str">
        <x:v>A lightweight probe cannot claim full integrity; a slow store must not block heartbeat observation.</x:v>
      </x:c>
      <x:c r="I26" s="26" t="str">
        <x:v>Prereqs: MON-01, MON-02</x:v>
      </x:c>
      <x:c r="J26" s="26" t="str">
        <x:v>Runtime &amp; safety owner</x:v>
      </x:c>
      <x:c r="K26" s="26" t="str">
        <x:v>STAGE_LEVEL_HISTORY_ONLY</x:v>
      </x:c>
      <x:c r="L26" s="26" t="str">
        <x:v>NOT_MAPPED</x:v>
      </x:c>
      <x:c r="M26" s="26" t="str">
        <x:v>NOT_APPLICABLE</x:v>
      </x:c>
      <x:c r="N26" s="26" t="str">
        <x:v>Historical stage/package build claims exist; not yet mapped to this exact row. This is not a missing-implementation finding and does not reopen prior closures.</x:v>
      </x:c>
      <x:c r="O26" s="26" t="str">
        <x:v>Map existing exact evidence first; implement only a demonstrated gap, then satisfy this row's closure condition.</x:v>
      </x:c>
      <x:c r="P26" s="26" t="str">
        <x:v>S01, S02, S05, S15 | §§24,27,28</x:v>
      </x:c>
      <x:c r="Q26" s="26" t="str">
        <x:v>https://github.com/sarmadkhan17/Luffy/blob/9385f792f32277bb0b826dba83247b8f5ccf1f8a/SDD.md</x:v>
      </x:c>
    </x:row>
    <x:row r="27" ht="92" customHeight="1">
      <x:c r="A27" s="30" t="str">
        <x:v>MON-04</x:v>
      </x:c>
      <x:c r="B27" s="26" t="str">
        <x:v>Runtime &amp; safety</x:v>
      </x:c>
      <x:c r="C27" s="26" t="str">
        <x:v>BASELINE</x:v>
      </x:c>
      <x:c r="D27" s="26" t="str">
        <x:v>EVIDENCE_TO_MAP</x:v>
      </x:c>
      <x:c r="E27" s="26" t="str">
        <x:v>Publish bounded deduplicated alerts even when the Journal fails.</x:v>
      </x:c>
      <x:c r="F27" s="26" t="str">
        <x:v>The failed component cannot be the sole alert destination.</x:v>
      </x:c>
      <x:c r="G27" s="26" t="str">
        <x:v>Out-of-band alert and retained incident identity distinguish onset, persistence, resolution and later recurrence; recovery latch follows authority.</x:v>
      </x:c>
      <x:c r="H27" s="26" t="str">
        <x:v>Failed Journal plus failed notifier still produces a truthful detectable failure; no alert storm or manual latch clearing.</x:v>
      </x:c>
      <x:c r="I27" s="26" t="str">
        <x:v>Prereqs: MON-02</x:v>
      </x:c>
      <x:c r="J27" s="26" t="str">
        <x:v>Runtime &amp; safety owner</x:v>
      </x:c>
      <x:c r="K27" s="26" t="str">
        <x:v>STAGE_LEVEL_HISTORY_ONLY</x:v>
      </x:c>
      <x:c r="L27" s="26" t="str">
        <x:v>NOT_MAPPED</x:v>
      </x:c>
      <x:c r="M27" s="26" t="str">
        <x:v>NOT_APPLICABLE</x:v>
      </x:c>
      <x:c r="N27" s="26" t="str">
        <x:v>Historical stage/package build claims exist; not yet mapped to this exact row. This is not a missing-implementation finding and does not reopen prior closures.</x:v>
      </x:c>
      <x:c r="O27" s="26" t="str">
        <x:v>Map existing exact evidence first; implement only a demonstrated gap, then satisfy this row's closure condition.</x:v>
      </x:c>
      <x:c r="P27" s="26" t="str">
        <x:v>S01, S02, S05, S15 | §§24,24.1,27</x:v>
      </x:c>
      <x:c r="Q27" s="26" t="str">
        <x:v>https://github.com/sarmadkhan17/Luffy/blob/9385f792f32277bb0b826dba83247b8f5ccf1f8a/SDD.md</x:v>
      </x:c>
    </x:row>
    <x:row r="28" ht="92" customHeight="1">
      <x:c r="A28" s="30" t="str">
        <x:v>MON-05</x:v>
      </x:c>
      <x:c r="B28" s="26" t="str">
        <x:v>Runtime &amp; safety</x:v>
      </x:c>
      <x:c r="C28" s="26" t="str">
        <x:v>BASELINE</x:v>
      </x:c>
      <x:c r="D28" s="26" t="str">
        <x:v>EVIDENCE_TO_MAP</x:v>
      </x:c>
      <x:c r="E28" s="26" t="str">
        <x:v>Attribute latency, storage, source and provider cost to exact operations.</x:v>
      </x:c>
      <x:c r="F28" s="26" t="str">
        <x:v>Makes incidents diagnosable instead of emitting only BLOCKED.</x:v>
      </x:c>
      <x:c r="G28" s="26" t="str">
        <x:v>Run/cycle/worker IDs link bounded phase timings, row/byte growth, waits, provider attempts and failures; measurement overhead is disclosed.</x:v>
      </x:c>
      <x:c r="H28" s="26" t="str">
        <x:v>Logs do not embed giant payloads, leak secrets or equate WAL writes with permanent retained growth.</x:v>
      </x:c>
      <x:c r="I28" s="26" t="str">
        <x:v>Prereqs: GOV-07</x:v>
      </x:c>
      <x:c r="J28" s="26" t="str">
        <x:v>Runtime &amp; safety owner</x:v>
      </x:c>
      <x:c r="K28" s="26" t="str">
        <x:v>STAGE_LEVEL_HISTORY_ONLY</x:v>
      </x:c>
      <x:c r="L28" s="26" t="str">
        <x:v>NOT_MAPPED</x:v>
      </x:c>
      <x:c r="M28" s="26" t="str">
        <x:v>NOT_APPLICABLE</x:v>
      </x:c>
      <x:c r="N28" s="26" t="str">
        <x:v>S16: several stage and observer costs measured; 13.13s unattributed time plus database/GIL/scheduler/child/overhead gaps remain. Historical stage/package build claims exist; not yet mapped to this exact row. This is not a missing-implementation finding and does not reopen prior closures.</x:v>
      </x:c>
      <x:c r="O28" s="26" t="str">
        <x:v>Map existing exact evidence first; implement only a demonstrated gap, then satisfy this row's closure condition.</x:v>
      </x:c>
      <x:c r="P28" s="26" t="str">
        <x:v>S01, S02, S05, S15, S16 | §§6.5,18.4,22.4,24</x:v>
      </x:c>
      <x:c r="Q28" s="26" t="str">
        <x:v>https://github.com/sarmadkhan17/Luffy/blob/9385f792f32277bb0b826dba83247b8f5ccf1f8a/SDD.md</x:v>
      </x:c>
    </x:row>
    <x:row r="29" ht="92" customHeight="1">
      <x:c r="A29" s="30" t="str">
        <x:v>MON-06</x:v>
      </x:c>
      <x:c r="B29" s="26" t="str">
        <x:v>Runtime &amp; safety</x:v>
      </x:c>
      <x:c r="C29" s="26" t="str">
        <x:v>BASELINE</x:v>
      </x:c>
      <x:c r="D29" s="26" t="str">
        <x:v>EVIDENCE_TO_MAP</x:v>
      </x:c>
      <x:c r="E29" s="26" t="str">
        <x:v>Expose all SDD alert classes and capability gaps with evidence.</x:v>
      </x:c>
      <x:c r="F29" s="26" t="str">
        <x:v>Important risks must not vanish outside the current package.</x:v>
      </x:c>
      <x:c r="G29" s="26" t="str">
        <x:v>Stale data, DB/venue/protection/reconciliation, latency, slippage, risk, concentration, decay, research blockage, replay mismatch and spending alerts each have source and tests.</x:v>
      </x:c>
      <x:c r="H29" s="26" t="str">
        <x:v>Unknown/disabled alert producers are visible; no fabricated healthy state.</x:v>
      </x:c>
      <x:c r="I29" s="26" t="str">
        <x:v>Prereqs: MON-04</x:v>
      </x:c>
      <x:c r="J29" s="26" t="str">
        <x:v>Runtime &amp; safety owner</x:v>
      </x:c>
      <x:c r="K29" s="26" t="str">
        <x:v>STAGE_LEVEL_HISTORY_ONLY</x:v>
      </x:c>
      <x:c r="L29" s="26" t="str">
        <x:v>NOT_MAPPED</x:v>
      </x:c>
      <x:c r="M29" s="26" t="str">
        <x:v>NOT_APPLICABLE</x:v>
      </x:c>
      <x:c r="N29" s="26" t="str">
        <x:v>Historical stage/package build claims exist; not yet mapped to this exact row. This is not a missing-implementation finding and does not reopen prior closures.</x:v>
      </x:c>
      <x:c r="O29" s="26" t="str">
        <x:v>Map existing exact evidence first; implement only a demonstrated gap, then satisfy this row's closure condition.</x:v>
      </x:c>
      <x:c r="P29" s="26" t="str">
        <x:v>S01, S02, S05, S15 | §24</x:v>
      </x:c>
      <x:c r="Q29" s="26" t="str">
        <x:v>https://github.com/sarmadkhan17/Luffy/blob/9385f792f32277bb0b826dba83247b8f5ccf1f8a/SDD.md</x:v>
      </x:c>
    </x:row>
    <x:row r="30" ht="92" customHeight="1">
      <x:c r="A30" s="30" t="str">
        <x:v>BKP-01</x:v>
      </x:c>
      <x:c r="B30" s="26" t="str">
        <x:v>Runtime &amp; safety</x:v>
      </x:c>
      <x:c r="C30" s="26" t="str">
        <x:v>BASELINE</x:v>
      </x:c>
      <x:c r="D30" s="26" t="str">
        <x:v>EVIDENCE_TO_MAP</x:v>
      </x:c>
      <x:c r="E30" s="26" t="str">
        <x:v>Preserve a dependency-complete critical backup set.</x:v>
      </x:c>
      <x:c r="F30" s="26" t="str">
        <x:v>Database-only copies can omit required external evidence.</x:v>
      </x:c>
      <x:c r="G30" s="26" t="str">
        <x:v>Backup inventory includes all required operational, strategy, World/Research/Learning, config, PIT population/export and retained model dependencies, with identities/hashes.</x:v>
      </x:c>
      <x:c r="H30" s="26" t="str">
        <x:v>Missing or corrupt referenced dependencies, secrets, traversal and incomplete generations are refused.</x:v>
      </x:c>
      <x:c r="I30" s="26" t="str">
        <x:v>Prereqs: DATA-02</x:v>
      </x:c>
      <x:c r="J30" s="26" t="str">
        <x:v>Runtime &amp; safety owner</x:v>
      </x:c>
      <x:c r="K30" s="26" t="str">
        <x:v>STAGE_LEVEL_HISTORY_ONLY</x:v>
      </x:c>
      <x:c r="L30" s="26" t="str">
        <x:v>NOT_MAPPED</x:v>
      </x:c>
      <x:c r="M30" s="26" t="str">
        <x:v>NOT_APPLICABLE</x:v>
      </x:c>
      <x:c r="N30" s="26" t="str">
        <x:v>Historical stage/package build claims exist; not yet mapped to this exact row. This is not a missing-implementation finding and does not reopen prior closures.</x:v>
      </x:c>
      <x:c r="O30" s="26" t="str">
        <x:v>Map existing exact evidence first; implement only a demonstrated gap, then satisfy this row's closure condition.</x:v>
      </x:c>
      <x:c r="P30" s="26" t="str">
        <x:v>S01, S02, S05, S15 | §27</x:v>
      </x:c>
      <x:c r="Q30" s="26" t="str">
        <x:v>https://github.com/sarmadkhan17/Luffy/blob/9385f792f32277bb0b826dba83247b8f5ccf1f8a/SDD.md</x:v>
      </x:c>
    </x:row>
    <x:row r="31" ht="92" customHeight="1">
      <x:c r="A31" s="30" t="str">
        <x:v>BKP-02</x:v>
      </x:c>
      <x:c r="B31" s="26" t="str">
        <x:v>Runtime &amp; safety</x:v>
      </x:c>
      <x:c r="C31" s="26" t="str">
        <x:v>BASELINE</x:v>
      </x:c>
      <x:c r="D31" s="26" t="str">
        <x:v>EVIDENCE_TO_MAP</x:v>
      </x:c>
      <x:c r="E31" s="26" t="str">
        <x:v>Restore consistent data without restoring permission to trade.</x:v>
      </x:c>
      <x:c r="F31" s="26" t="str">
        <x:v>A restored ACTIVE field is not current safety evidence.</x:v>
      </x:c>
      <x:c r="G31" s="26" t="str">
        <x:v>Transactional snapshots and staged restore pass integrity/manifest tests and start contained; venue, protection, unresolved execution and Risk are reverified.</x:v>
      </x:c>
      <x:c r="H31" s="26" t="str">
        <x:v>Interrupted restore cannot publish mixed state; restored credentials/old approval cannot bypass current authority.</x:v>
      </x:c>
      <x:c r="I31" s="26" t="str">
        <x:v>Prereqs: BKP-01, RUN-02, EXE-06</x:v>
      </x:c>
      <x:c r="J31" s="26" t="str">
        <x:v>Runtime &amp; safety owner</x:v>
      </x:c>
      <x:c r="K31" s="26" t="str">
        <x:v>STAGE_LEVEL_HISTORY_ONLY</x:v>
      </x:c>
      <x:c r="L31" s="26" t="str">
        <x:v>NOT_MAPPED</x:v>
      </x:c>
      <x:c r="M31" s="26" t="str">
        <x:v>NOT_APPLICABLE</x:v>
      </x:c>
      <x:c r="N31" s="26" t="str">
        <x:v>Historical stage/package build claims exist; not yet mapped to this exact row. This is not a missing-implementation finding and does not reopen prior closures.</x:v>
      </x:c>
      <x:c r="O31" s="26" t="str">
        <x:v>Map existing exact evidence first; implement only a demonstrated gap, then satisfy this row's closure condition.</x:v>
      </x:c>
      <x:c r="P31" s="26" t="str">
        <x:v>S01, S02, S05, S15 | §§6.7,27</x:v>
      </x:c>
      <x:c r="Q31" s="26" t="str">
        <x:v>https://github.com/sarmadkhan17/Luffy/blob/9385f792f32277bb0b826dba83247b8f5ccf1f8a/SDD.md</x:v>
      </x:c>
    </x:row>
    <x:row r="32" ht="92" customHeight="1">
      <x:c r="A32" s="30" t="str">
        <x:v>BKP-03</x:v>
      </x:c>
      <x:c r="B32" s="26" t="str">
        <x:v>Runtime &amp; safety</x:v>
      </x:c>
      <x:c r="C32" s="26" t="str">
        <x:v>OPERATIONAL_MATURITY</x:v>
      </x:c>
      <x:c r="D32" s="26" t="str">
        <x:v>AWAITING_OWNER</x:v>
      </x:c>
      <x:c r="E32" s="26" t="str">
        <x:v>Demonstrate configured off-host recovery and restore drills.</x:v>
      </x:c>
      <x:c r="F32" s="26" t="str">
        <x:v>A second VMDK on the same physical drive is not off-host protection.</x:v>
      </x:c>
      <x:c r="G32" s="26" t="str">
        <x:v>Owner-approved destination/cadence/retention and an actual integrity-checked restore drill establish the stated recovery capability.</x:v>
      </x:c>
      <x:c r="H32" s="26" t="str">
        <x:v>Filesystem path or a same-drive copy alone cannot be labelled physically off-host.</x:v>
      </x:c>
      <x:c r="I32" s="26" t="str">
        <x:v>Prereqs: BKP-01, BKP-02</x:v>
      </x:c>
      <x:c r="J32" s="26" t="str">
        <x:v>Runtime &amp; safety owner</x:v>
      </x:c>
      <x:c r="K32" s="26" t="str">
        <x:v>NOT_MAPPED</x:v>
      </x:c>
      <x:c r="L32" s="26" t="str">
        <x:v>NOT_MAPPED</x:v>
      </x:c>
      <x:c r="M32" s="26" t="str">
        <x:v>NOT_APPLICABLE</x:v>
      </x:c>
      <x:c r="N32" s="26" t="str">
        <x:v>No item-level evidence mapping completed in this tracker.</x:v>
      </x:c>
      <x:c r="O32" s="26" t="str">
        <x:v>Map existing exact evidence first; implement only a demonstrated gap, then satisfy this row's closure condition.</x:v>
      </x:c>
      <x:c r="P32" s="26" t="str">
        <x:v>S01, S02, S05, S15 | §27</x:v>
      </x:c>
      <x:c r="Q32" s="26" t="str">
        <x:v>https://github.com/sarmadkhan17/Luffy/blob/9385f792f32277bb0b826dba83247b8f5ccf1f8a/SDD.md</x:v>
      </x:c>
    </x:row>
    <x:row r="33" ht="92" customHeight="1">
      <x:c r="A33" s="30" t="str">
        <x:v>DATA-01</x:v>
      </x:c>
      <x:c r="B33" s="26" t="str">
        <x:v>Data &amp; storage</x:v>
      </x:c>
      <x:c r="C33" s="26" t="str">
        <x:v>BASELINE</x:v>
      </x:c>
      <x:c r="D33" s="26" t="str">
        <x:v>EVIDENCE_TO_MAP</x:v>
      </x:c>
      <x:c r="E33" s="26" t="str">
        <x:v>Use one canonical instrument and capability identity across all consumers.</x:v>
      </x:c>
      <x:c r="F33" s="26" t="str">
        <x:v>Prevents valid data being rejected or misbound across Registry/Portfolio/Risk/Execution.</x:v>
      </x:c>
      <x:c r="G33" s="26" t="str">
        <x:v>Same observed instrument resolves to one versioned identity from acquisition through booking, including market/settlement/contract facts.</x:v>
      </x:c>
      <x:c r="H33" s="26" t="str">
        <x:v>Raw symbol text or incompatible capability revision cannot authorize exposure.</x:v>
      </x:c>
      <x:c r="I33" s="26" t="str">
        <x:v>Prereqs: —</x:v>
      </x:c>
      <x:c r="J33" s="26" t="str">
        <x:v>Data &amp; storage owner</x:v>
      </x:c>
      <x:c r="K33" s="26" t="str">
        <x:v>NOT_MAPPED</x:v>
      </x:c>
      <x:c r="L33" s="26" t="str">
        <x:v>NOT_MAPPED</x:v>
      </x:c>
      <x:c r="M33" s="26" t="str">
        <x:v>NOT_APPLICABLE</x:v>
      </x:c>
      <x:c r="N33" s="26" t="str">
        <x:v>No item-level evidence mapping completed in this tracker.</x:v>
      </x:c>
      <x:c r="O33" s="26" t="str">
        <x:v>Map existing exact evidence first; implement only a demonstrated gap, then satisfy this row's closure condition.</x:v>
      </x:c>
      <x:c r="P33" s="26" t="str">
        <x:v>S01, S08, S13 | §§6.4,6.8</x:v>
      </x:c>
      <x:c r="Q33" s="26" t="str">
        <x:v>https://github.com/sarmadkhan17/Luffy/blob/9385f792f32277bb0b826dba83247b8f5ccf1f8a/SDD.md</x:v>
      </x:c>
    </x:row>
    <x:row r="34" ht="92" customHeight="1">
      <x:c r="A34" s="30" t="str">
        <x:v>DATA-02</x:v>
      </x:c>
      <x:c r="B34" s="26" t="str">
        <x:v>Data &amp; storage</x:v>
      </x:c>
      <x:c r="C34" s="26" t="str">
        <x:v>BASELINE</x:v>
      </x:c>
      <x:c r="D34" s="26" t="str">
        <x:v>EVIDENCE_TO_MAP</x:v>
      </x:c>
      <x:c r="E34" s="26" t="str">
        <x:v>Retain event, receipt, availability, transform and quality provenance.</x:v>
      </x:c>
      <x:c r="F34" s="26" t="str">
        <x:v>Decisions and replay need to know what was actually available.</x:v>
      </x:c>
      <x:c r="G34" s="26" t="str">
        <x:v>Every required input carries relevant clocks, source/schema/transform identity and explicit quality; receipts survive durable replay.</x:v>
      </x:c>
      <x:c r="H34" s="26" t="str">
        <x:v>Missing/stale/suspect/unsupported or NaN input is never silently zero or CURRENT.</x:v>
      </x:c>
      <x:c r="I34" s="26" t="str">
        <x:v>Prereqs: DATA-01</x:v>
      </x:c>
      <x:c r="J34" s="26" t="str">
        <x:v>Data &amp; storage owner</x:v>
      </x:c>
      <x:c r="K34" s="26" t="str">
        <x:v>NOT_MAPPED</x:v>
      </x:c>
      <x:c r="L34" s="26" t="str">
        <x:v>NOT_MAPPED</x:v>
      </x:c>
      <x:c r="M34" s="26" t="str">
        <x:v>NOT_APPLICABLE</x:v>
      </x:c>
      <x:c r="N34" s="26" t="str">
        <x:v>No item-level evidence mapping completed in this tracker.</x:v>
      </x:c>
      <x:c r="O34" s="26" t="str">
        <x:v>Map existing exact evidence first; implement only a demonstrated gap, then satisfy this row's closure condition.</x:v>
      </x:c>
      <x:c r="P34" s="26" t="str">
        <x:v>S01, S08, S13 | §§6.1–6.5</x:v>
      </x:c>
      <x:c r="Q34" s="26" t="str">
        <x:v>https://github.com/sarmadkhan17/Luffy/blob/9385f792f32277bb0b826dba83247b8f5ccf1f8a/SDD.md</x:v>
      </x:c>
    </x:row>
    <x:row r="35" ht="92" customHeight="1">
      <x:c r="A35" s="30" t="str">
        <x:v>DATA-03</x:v>
      </x:c>
      <x:c r="B35" s="26" t="str">
        <x:v>Data &amp; storage</x:v>
      </x:c>
      <x:c r="C35" s="26" t="str">
        <x:v>BASELINE</x:v>
      </x:c>
      <x:c r="D35" s="26" t="str">
        <x:v>EVIDENCE_TO_MAP</x:v>
      </x:c>
      <x:c r="E35" s="26" t="str">
        <x:v>Reject future data in current and historical reads, including caches.</x:v>
      </x:c>
      <x:c r="F35" s="26" t="str">
        <x:v>Prevents look-ahead through receipt timing or timestamp rewriting.</x:v>
      </x:c>
      <x:c r="G35" s="26" t="str">
        <x:v>All normal/replay consumers enforce availability at the requested cut for candles, universe, derivatives, references, features and learning.</x:v>
      </x:c>
      <x:c r="H35" s="26" t="str">
        <x:v>Clock rollback, failed refresh, future cache or later revision cannot be restamped into the past.</x:v>
      </x:c>
      <x:c r="I35" s="26" t="str">
        <x:v>Prereqs: DATA-02</x:v>
      </x:c>
      <x:c r="J35" s="26" t="str">
        <x:v>Data &amp; storage owner</x:v>
      </x:c>
      <x:c r="K35" s="26" t="str">
        <x:v>NOT_MAPPED</x:v>
      </x:c>
      <x:c r="L35" s="26" t="str">
        <x:v>NOT_MAPPED</x:v>
      </x:c>
      <x:c r="M35" s="26" t="str">
        <x:v>NOT_APPLICABLE</x:v>
      </x:c>
      <x:c r="N35" s="26" t="str">
        <x:v>No item-level evidence mapping completed in this tracker.</x:v>
      </x:c>
      <x:c r="O35" s="26" t="str">
        <x:v>Map existing exact evidence first; implement only a demonstrated gap, then satisfy this row's closure condition.</x:v>
      </x:c>
      <x:c r="P35" s="26" t="str">
        <x:v>S01, S08, S13 | §6.2</x:v>
      </x:c>
      <x:c r="Q35" s="26" t="str">
        <x:v>https://github.com/sarmadkhan17/Luffy/blob/9385f792f32277bb0b826dba83247b8f5ccf1f8a/SDD.md</x:v>
      </x:c>
    </x:row>
    <x:row r="36" ht="92" customHeight="1">
      <x:c r="A36" s="30" t="str">
        <x:v>DATA-04</x:v>
      </x:c>
      <x:c r="B36" s="26" t="str">
        <x:v>Data &amp; storage</x:v>
      </x:c>
      <x:c r="C36" s="26" t="str">
        <x:v>BASELINE</x:v>
      </x:c>
      <x:c r="D36" s="26" t="str">
        <x:v>EVIDENCE_TO_MAP</x:v>
      </x:c>
      <x:c r="E36" s="26" t="str">
        <x:v>Align native and aggregated higher-timeframe bars to actual availability.</x:v>
      </x:c>
      <x:c r="F36" s="26" t="str">
        <x:v>Open/partial bars must not masquerade as closed history.</x:v>
      </x:c>
      <x:c r="G36" s="26" t="str">
        <x:v>Native/aggregated HTF, partial and missing bars preserve explicit eligibility and correct historical alignment.</x:v>
      </x:c>
      <x:c r="H36" s="26" t="str">
        <x:v>Aggregation/backfill/feature paths cannot silently use unfinished or future-available bars.</x:v>
      </x:c>
      <x:c r="I36" s="26" t="str">
        <x:v>Prereqs: DATA-03</x:v>
      </x:c>
      <x:c r="J36" s="26" t="str">
        <x:v>Data &amp; storage owner</x:v>
      </x:c>
      <x:c r="K36" s="26" t="str">
        <x:v>NOT_MAPPED</x:v>
      </x:c>
      <x:c r="L36" s="26" t="str">
        <x:v>NOT_MAPPED</x:v>
      </x:c>
      <x:c r="M36" s="26" t="str">
        <x:v>NOT_APPLICABLE</x:v>
      </x:c>
      <x:c r="N36" s="26" t="str">
        <x:v>No item-level evidence mapping completed in this tracker.</x:v>
      </x:c>
      <x:c r="O36" s="26" t="str">
        <x:v>Map existing exact evidence first; implement only a demonstrated gap, then satisfy this row's closure condition.</x:v>
      </x:c>
      <x:c r="P36" s="26" t="str">
        <x:v>S01, S08, S13 | §§6.2,7,28.4</x:v>
      </x:c>
      <x:c r="Q36" s="26" t="str">
        <x:v>https://github.com/sarmadkhan17/Luffy/blob/9385f792f32277bb0b826dba83247b8f5ccf1f8a/SDD.md</x:v>
      </x:c>
    </x:row>
    <x:row r="37" ht="92" customHeight="1">
      <x:c r="A37" s="30" t="str">
        <x:v>DATA-05</x:v>
      </x:c>
      <x:c r="B37" s="26" t="str">
        <x:v>Data &amp; storage</x:v>
      </x:c>
      <x:c r="C37" s="26" t="str">
        <x:v>BASELINE</x:v>
      </x:c>
      <x:c r="D37" s="26" t="str">
        <x:v>EVIDENCE_TO_MAP</x:v>
      </x:c>
      <x:c r="E37" s="26" t="str">
        <x:v>Preserve append-only revisions and distinguish latest from as-of.</x:v>
      </x:c>
      <x:c r="F37" s="26" t="str">
        <x:v>Later correction must not rewrite what an earlier decision knew.</x:v>
      </x:c>
      <x:c r="G37" s="26" t="str">
        <x:v>Latest views and historical revision selection return the correct source at each cut; hash and lineage reconstruction match.</x:v>
      </x:c>
      <x:c r="H37" s="26" t="str">
        <x:v>Revisions applied later do not change earlier replay; old data is not rebased to current truth.</x:v>
      </x:c>
      <x:c r="I37" s="26" t="str">
        <x:v>Prereqs: DATA-02</x:v>
      </x:c>
      <x:c r="J37" s="26" t="str">
        <x:v>Data &amp; storage owner</x:v>
      </x:c>
      <x:c r="K37" s="26" t="str">
        <x:v>NOT_MAPPED</x:v>
      </x:c>
      <x:c r="L37" s="26" t="str">
        <x:v>NOT_MAPPED</x:v>
      </x:c>
      <x:c r="M37" s="26" t="str">
        <x:v>NOT_APPLICABLE</x:v>
      </x:c>
      <x:c r="N37" s="26" t="str">
        <x:v>No item-level evidence mapping completed in this tracker.</x:v>
      </x:c>
      <x:c r="O37" s="26" t="str">
        <x:v>Map existing exact evidence first; implement only a demonstrated gap, then satisfy this row's closure condition.</x:v>
      </x:c>
      <x:c r="P37" s="26" t="str">
        <x:v>S01, S08, S13 | §§6.2,6.5,19.3</x:v>
      </x:c>
      <x:c r="Q37" s="26" t="str">
        <x:v>https://github.com/sarmadkhan17/Luffy/blob/9385f792f32277bb0b826dba83247b8f5ccf1f8a/SDD.md</x:v>
      </x:c>
    </x:row>
    <x:row r="38" ht="92" customHeight="1">
      <x:c r="A38" s="30" t="str">
        <x:v>DATA-06</x:v>
      </x:c>
      <x:c r="B38" s="26" t="str">
        <x:v>Data &amp; storage</x:v>
      </x:c>
      <x:c r="C38" s="26" t="str">
        <x:v>BASELINE</x:v>
      </x:c>
      <x:c r="D38" s="26" t="str">
        <x:v>EVIDENCE_TO_MAP</x:v>
      </x:c>
      <x:c r="E38" s="26" t="str">
        <x:v>Discover eligible instruments from connected account/venue truth.</x:v>
      </x:c>
      <x:c r="F38" s="26" t="str">
        <x:v>Attention focus is not the tradable universe.</x:v>
      </x:c>
      <x:c r="G38" s="26" t="str">
        <x:v>Registry refresh records market capabilities, eligibility/version history and explicit exclusions; Attention can explain its compute subset.</x:v>
      </x:c>
      <x:c r="H38" s="26" t="str">
        <x:v>No permanent hardcoded top-N list, guessed leverage, or cross-environment identity substitution.</x:v>
      </x:c>
      <x:c r="I38" s="26" t="str">
        <x:v>Prereqs: DATA-01</x:v>
      </x:c>
      <x:c r="J38" s="26" t="str">
        <x:v>Data &amp; storage owner</x:v>
      </x:c>
      <x:c r="K38" s="26" t="str">
        <x:v>NOT_MAPPED</x:v>
      </x:c>
      <x:c r="L38" s="26" t="str">
        <x:v>NOT_MAPPED</x:v>
      </x:c>
      <x:c r="M38" s="26" t="str">
        <x:v>NOT_APPLICABLE</x:v>
      </x:c>
      <x:c r="N38" s="26" t="str">
        <x:v>No item-level evidence mapping completed in this tracker.</x:v>
      </x:c>
      <x:c r="O38" s="26" t="str">
        <x:v>Map existing exact evidence first; implement only a demonstrated gap, then satisfy this row's closure condition.</x:v>
      </x:c>
      <x:c r="P38" s="26" t="str">
        <x:v>S01, S08, S13 | §§2.2,6.8,33.1</x:v>
      </x:c>
      <x:c r="Q38" s="26" t="str">
        <x:v>https://github.com/sarmadkhan17/Luffy/blob/9385f792f32277bb0b826dba83247b8f5ccf1f8a/SDD.md</x:v>
      </x:c>
    </x:row>
    <x:row r="39" ht="92" customHeight="1">
      <x:c r="A39" s="30" t="str">
        <x:v>DATA-07</x:v>
      </x:c>
      <x:c r="B39" s="26" t="str">
        <x:v>Data &amp; storage</x:v>
      </x:c>
      <x:c r="C39" s="26" t="str">
        <x:v>BASELINE</x:v>
      </x:c>
      <x:c r="D39" s="26" t="str">
        <x:v>EVIDENCE_TO_MAP</x:v>
      </x:c>
      <x:c r="E39" s="26" t="str">
        <x:v>Deduplicate identical evidence payloads without deleting distinct observations.</x:v>
      </x:c>
      <x:c r="F39" s="26" t="str">
        <x:v>The disk incident came from repeated representation, not unique information.</x:v>
      </x:c>
      <x:c r="G39" s="26" t="str">
        <x:v>Shared immutable payloads resolve through verified identities; all readers/replay/export/backup preserve required logical content with measured physical savings.</x:v>
      </x:c>
      <x:c r="H39" s="26" t="str">
        <x:v>Distinct time/acquisition/revision observations remain distinct; missing/corrupt references fail explicitly.</x:v>
      </x:c>
      <x:c r="I39" s="26" t="str">
        <x:v>Prereqs: DATA-02, DATA-05</x:v>
      </x:c>
      <x:c r="J39" s="26" t="str">
        <x:v>Data &amp; storage owner</x:v>
      </x:c>
      <x:c r="K39" s="26" t="str">
        <x:v>NOT_MAPPED</x:v>
      </x:c>
      <x:c r="L39" s="26" t="str">
        <x:v>NOT_MAPPED</x:v>
      </x:c>
      <x:c r="M39" s="26" t="str">
        <x:v>NOT_APPLICABLE</x:v>
      </x:c>
      <x:c r="N39" s="26" t="str">
        <x:v>No item-level evidence mapping completed in this tracker.</x:v>
      </x:c>
      <x:c r="O39" s="26" t="str">
        <x:v>Map existing exact evidence first; implement only a demonstrated gap, then satisfy this row's closure condition.</x:v>
      </x:c>
      <x:c r="P39" s="26" t="str">
        <x:v>S01, S08, S13 | §§6.5–6.6; owner data requirements</x:v>
      </x:c>
      <x:c r="Q39" s="26" t="str">
        <x:v>https://github.com/sarmadkhan17/Luffy/blob/9385f792f32277bb0b826dba83247b8f5ccf1f8a/SDD.md</x:v>
      </x:c>
    </x:row>
    <x:row r="40" ht="92" customHeight="1">
      <x:c r="A40" s="30" t="str">
        <x:v>DATA-08</x:v>
      </x:c>
      <x:c r="B40" s="26" t="str">
        <x:v>Data &amp; storage</x:v>
      </x:c>
      <x:c r="C40" s="26" t="str">
        <x:v>BASELINE</x:v>
      </x:c>
      <x:c r="D40" s="26" t="str">
        <x:v>EVIDENCE_TO_MAP</x:v>
      </x:c>
      <x:c r="E40" s="26" t="str">
        <x:v>Make retries idempotent at the logical event boundary.</x:v>
      </x:c>
      <x:c r="F40" s="26" t="str">
        <x:v>Payload sharing alone can still append duplicate event records.</x:v>
      </x:c>
      <x:c r="G40" s="26" t="str">
        <x:v>Retrying one event creates no second logical event; distinct observations retain identities even when payload bytes are identical.</x:v>
      </x:c>
      <x:c r="H40" s="26" t="str">
        <x:v>Crash/retry/concurrent delivery does not double-count votes/evidence/outcomes.</x:v>
      </x:c>
      <x:c r="I40" s="26" t="str">
        <x:v>Prereqs: DATA-07</x:v>
      </x:c>
      <x:c r="J40" s="26" t="str">
        <x:v>Data &amp; storage owner</x:v>
      </x:c>
      <x:c r="K40" s="26" t="str">
        <x:v>NOT_MAPPED</x:v>
      </x:c>
      <x:c r="L40" s="26" t="str">
        <x:v>NOT_MAPPED</x:v>
      </x:c>
      <x:c r="M40" s="26" t="str">
        <x:v>NOT_APPLICABLE</x:v>
      </x:c>
      <x:c r="N40" s="26" t="str">
        <x:v>No item-level evidence mapping completed in this tracker.</x:v>
      </x:c>
      <x:c r="O40" s="26" t="str">
        <x:v>Map existing exact evidence first; implement only a demonstrated gap, then satisfy this row's closure condition.</x:v>
      </x:c>
      <x:c r="P40" s="26" t="str">
        <x:v>S01, S08, S13 | §6.5; owner data requirements</x:v>
      </x:c>
      <x:c r="Q40" s="26" t="str">
        <x:v>https://github.com/sarmadkhan17/Luffy/blob/9385f792f32277bb0b826dba83247b8f5ccf1f8a/SDD.md</x:v>
      </x:c>
    </x:row>
    <x:row r="41" ht="92" customHeight="1">
      <x:c r="A41" s="30" t="str">
        <x:v>DATA-09</x:v>
      </x:c>
      <x:c r="B41" s="26" t="str">
        <x:v>Data &amp; storage</x:v>
      </x:c>
      <x:c r="C41" s="26" t="str">
        <x:v>BASELINE</x:v>
      </x:c>
      <x:c r="D41" s="26" t="str">
        <x:v>EVIDENCE_TO_MAP</x:v>
      </x:c>
      <x:c r="E41" s="26" t="str">
        <x:v>Give each continuing collection a purpose and retention contract.</x:v>
      </x:c>
      <x:c r="F41" s="26" t="str">
        <x:v>Do not keep unlimited full-detail data merely because it can be stored.</x:v>
      </x:c>
      <x:c r="G41" s="26" t="str">
        <x:v>Inventory covers producer, consumer/research purpose, dependency, bytes/day and approved KEEP/DEDUP/SUMMARIZE/RECOMPUTE/STOP rules across stores.</x:v>
      </x:c>
      <x:c r="H41" s="26" t="str">
        <x:v>No deletion breaks replay, failure memory, approvals, accounting or inspected-data history; unknown usefulness stays explicit.</x:v>
      </x:c>
      <x:c r="I41" s="26" t="str">
        <x:v>Prereqs: DATA-07, MON-05</x:v>
      </x:c>
      <x:c r="J41" s="26" t="str">
        <x:v>Data &amp; storage owner</x:v>
      </x:c>
      <x:c r="K41" s="26" t="str">
        <x:v>NOT_MAPPED</x:v>
      </x:c>
      <x:c r="L41" s="26" t="str">
        <x:v>NOT_MAPPED</x:v>
      </x:c>
      <x:c r="M41" s="26" t="str">
        <x:v>NOT_APPLICABLE</x:v>
      </x:c>
      <x:c r="N41" s="26" t="str">
        <x:v>No item-level evidence mapping completed in this tracker.</x:v>
      </x:c>
      <x:c r="O41" s="26" t="str">
        <x:v>Map existing exact evidence first; implement only a demonstrated gap, then satisfy this row's closure condition.</x:v>
      </x:c>
      <x:c r="P41" s="26" t="str">
        <x:v>S01, S08, S13 | §§3,6.6,20,27; owner data requirements</x:v>
      </x:c>
      <x:c r="Q41" s="26" t="str">
        <x:v>https://github.com/sarmadkhan17/Luffy/blob/9385f792f32277bb0b826dba83247b8f5ccf1f8a/SDD.md</x:v>
      </x:c>
    </x:row>
    <x:row r="42" ht="92" customHeight="1">
      <x:c r="A42" s="30" t="str">
        <x:v>DATA-10</x:v>
      </x:c>
      <x:c r="B42" s="26" t="str">
        <x:v>Data &amp; storage</x:v>
      </x:c>
      <x:c r="C42" s="26" t="str">
        <x:v>BASELINE</x:v>
      </x:c>
      <x:c r="D42" s="26" t="str">
        <x:v>EVIDENCE_TO_MAP</x:v>
      </x:c>
      <x:c r="E42" s="26" t="str">
        <x:v>Capture missing useful evidence prospectively and label historical gaps.</x:v>
      </x:c>
      <x:c r="F42" s="26" t="str">
        <x:v>Storage repair cannot manufacture learning or execution evidence.</x:v>
      </x:c>
      <x:c r="G42" s="26" t="str">
        <x:v>Required current producers link decision/action/outcome, actual fees/timing and resource receipts; old absent records remain labelled incomplete.</x:v>
      </x:c>
      <x:c r="H42" s="26" t="str">
        <x:v>No invented historical registration, billing, filled quantity, or numeric replacement of unknowns.</x:v>
      </x:c>
      <x:c r="I42" s="26" t="str">
        <x:v>Prereqs: DATA-02, OUT-01</x:v>
      </x:c>
      <x:c r="J42" s="26" t="str">
        <x:v>Data &amp; storage owner</x:v>
      </x:c>
      <x:c r="K42" s="26" t="str">
        <x:v>NOT_MAPPED</x:v>
      </x:c>
      <x:c r="L42" s="26" t="str">
        <x:v>NOT_MAPPED</x:v>
      </x:c>
      <x:c r="M42" s="26" t="str">
        <x:v>NOT_APPLICABLE</x:v>
      </x:c>
      <x:c r="N42" s="26" t="str">
        <x:v>No item-level evidence mapping completed in this tracker.</x:v>
      </x:c>
      <x:c r="O42" s="26" t="str">
        <x:v>Map existing exact evidence first; implement only a demonstrated gap, then satisfy this row's closure condition.</x:v>
      </x:c>
      <x:c r="P42" s="26" t="str">
        <x:v>S01, S08, S13 | §§18.4,19,21; S08 inventory</x:v>
      </x:c>
      <x:c r="Q42" s="26" t="str">
        <x:v>https://github.com/sarmadkhan17/Luffy/blob/9385f792f32277bb0b826dba83247b8f5ccf1f8a/SDD.md</x:v>
      </x:c>
    </x:row>
    <x:row r="43" ht="92" customHeight="1">
      <x:c r="A43" s="30" t="str">
        <x:v>DATA-11</x:v>
      </x:c>
      <x:c r="B43" s="26" t="str">
        <x:v>Data &amp; storage</x:v>
      </x:c>
      <x:c r="C43" s="26" t="str">
        <x:v>BASELINE</x:v>
      </x:c>
      <x:c r="D43" s="26" t="str">
        <x:v>EVIDENCE_TO_MAP</x:v>
      </x:c>
      <x:c r="E43" s="26" t="str">
        <x:v>Keep research analytics out of the critical SQLite write path when justified.</x:v>
      </x:c>
      <x:c r="F43" s="26" t="str">
        <x:v>Bulk history should not starve operational durability.</x:v>
      </x:c>
      <x:c r="G43" s="26" t="str">
        <x:v>Measured ownership and query/write costs show analytical jobs do not block required operational transactions; any archival representation is replay-compatible.</x:v>
      </x:c>
      <x:c r="H43" s="26" t="str">
        <x:v>No reflex database/service migration or unbounded SQL history scan on the hot path.</x:v>
      </x:c>
      <x:c r="I43" s="26" t="str">
        <x:v>Prereqs: DATA-09, MON-02</x:v>
      </x:c>
      <x:c r="J43" s="26" t="str">
        <x:v>Data &amp; storage owner</x:v>
      </x:c>
      <x:c r="K43" s="26" t="str">
        <x:v>NOT_MAPPED</x:v>
      </x:c>
      <x:c r="L43" s="26" t="str">
        <x:v>NOT_MAPPED</x:v>
      </x:c>
      <x:c r="M43" s="26" t="str">
        <x:v>NOT_APPLICABLE</x:v>
      </x:c>
      <x:c r="N43" s="26" t="str">
        <x:v>No item-level evidence mapping completed in this tracker.</x:v>
      </x:c>
      <x:c r="O43" s="26" t="str">
        <x:v>Map existing exact evidence first; implement only a demonstrated gap, then satisfy this row's closure condition.</x:v>
      </x:c>
      <x:c r="P43" s="26" t="str">
        <x:v>S01, S08, S13 | §§5.3,6.6</x:v>
      </x:c>
      <x:c r="Q43" s="26" t="str">
        <x:v>https://github.com/sarmadkhan17/Luffy/blob/9385f792f32277bb0b826dba83247b8f5ccf1f8a/SDD.md</x:v>
      </x:c>
    </x:row>
    <x:row r="44" ht="92" customHeight="1">
      <x:c r="A44" s="30" t="str">
        <x:v>DATA-12</x:v>
      </x:c>
      <x:c r="B44" s="26" t="str">
        <x:v>Data &amp; storage</x:v>
      </x:c>
      <x:c r="C44" s="26" t="str">
        <x:v>BASELINE</x:v>
      </x:c>
      <x:c r="D44" s="26" t="str">
        <x:v>EVIDENCE_TO_MAP</x:v>
      </x:c>
      <x:c r="E44" s="26" t="str">
        <x:v>Separate runtime-generated files from deployed source and measure storage growth.</x:v>
      </x:c>
      <x:c r="F44" s="26" t="str">
        <x:v>Ordinary runs must not silently change the deployed code snapshot or refill disk.</x:v>
      </x:c>
      <x:c r="G44" s="26" t="str">
        <x:v>Generated evidence follows intended runtime paths; all-store growth, temporary files and WAL are measured and bounded by explicit policy.</x:v>
      </x:c>
      <x:c r="H44" s="26" t="str">
        <x:v>Ordinary cycles do not mutate tracked source/knowledge design files or create unrestricted backup generations.</x:v>
      </x:c>
      <x:c r="I44" s="26" t="str">
        <x:v>Prereqs: GOV-07, DATA-09</x:v>
      </x:c>
      <x:c r="J44" s="26" t="str">
        <x:v>Data &amp; storage owner</x:v>
      </x:c>
      <x:c r="K44" s="26" t="str">
        <x:v>NOT_MAPPED</x:v>
      </x:c>
      <x:c r="L44" s="26" t="str">
        <x:v>NOT_MAPPED</x:v>
      </x:c>
      <x:c r="M44" s="26" t="str">
        <x:v>NOT_APPLICABLE</x:v>
      </x:c>
      <x:c r="N44" s="26" t="str">
        <x:v>S16 allocated growth 15.645MiB includes WAL; not a measure of unique useful retained evidence. No item-level evidence mapping completed in this tracker.</x:v>
      </x:c>
      <x:c r="O44" s="26" t="str">
        <x:v>Map existing exact evidence first; implement only a demonstrated gap, then satisfy this row's closure condition.</x:v>
      </x:c>
      <x:c r="P44" s="26" t="str">
        <x:v>S01, S08, S13, S16 | §§2.5,6,24</x:v>
      </x:c>
      <x:c r="Q44" s="26" t="str">
        <x:v>https://github.com/sarmadkhan17/Luffy/blob/9385f792f32277bb0b826dba83247b8f5ccf1f8a/SDD.md</x:v>
      </x:c>
    </x:row>
    <x:row r="45" ht="92" customHeight="1">
      <x:c r="A45" s="30" t="str">
        <x:v>WRLD-01</x:v>
      </x:c>
      <x:c r="B45" s="26" t="str">
        <x:v>Perception &amp; WorldModel</x:v>
      </x:c>
      <x:c r="C45" s="26" t="str">
        <x:v>BASELINE</x:v>
      </x:c>
      <x:c r="D45" s="26" t="str">
        <x:v>EVIDENCE_TO_MAP</x:v>
      </x:c>
      <x:c r="E45" s="26" t="str">
        <x:v>Provide typed measurement packets rather than analyst trade decisions.</x:v>
      </x:c>
      <x:c r="F45" s="26" t="str">
        <x:v>Separates market evidence from execution authority.</x:v>
      </x:c>
      <x:c r="G45" s="26" t="str">
        <x:v>Enabled analysts declare inputs, horizon, quality, strength/uncertainty and limitations; Decision consumes typed evidence.</x:v>
      </x:c>
      <x:c r="H45" s="26" t="str">
        <x:v>Analysts cannot size/place orders, activate strategies or fabricate missing values.</x:v>
      </x:c>
      <x:c r="I45" s="26" t="str">
        <x:v>Prereqs: DATA-02</x:v>
      </x:c>
      <x:c r="J45" s="26" t="str">
        <x:v>Perception &amp; WorldModel owner</x:v>
      </x:c>
      <x:c r="K45" s="26" t="str">
        <x:v>STAGE_LEVEL_HISTORY_ONLY</x:v>
      </x:c>
      <x:c r="L45" s="26" t="str">
        <x:v>NOT_MAPPED</x:v>
      </x:c>
      <x:c r="M45" s="26" t="str">
        <x:v>NOT_APPLICABLE</x:v>
      </x:c>
      <x:c r="N45" s="26" t="str">
        <x:v>Historical stage/package build claims exist; not yet mapped to this exact row. This is not a missing-implementation finding and does not reopen prior closures.</x:v>
      </x:c>
      <x:c r="O45" s="26" t="str">
        <x:v>Map existing exact evidence first; implement only a demonstrated gap, then satisfy this row's closure condition.</x:v>
      </x:c>
      <x:c r="P45" s="26" t="str">
        <x:v>S01, S02, S12 | §§7,15.5,35.2</x:v>
      </x:c>
      <x:c r="Q45" s="26" t="str">
        <x:v>https://github.com/sarmadkhan17/Luffy/blob/9385f792f32277bb0b826dba83247b8f5ccf1f8a/SDD.md</x:v>
      </x:c>
    </x:row>
    <x:row r="46" ht="92" customHeight="1">
      <x:c r="A46" s="30" t="str">
        <x:v>WRLD-02</x:v>
      </x:c>
      <x:c r="B46" s="26" t="str">
        <x:v>Perception &amp; WorldModel</x:v>
      </x:c>
      <x:c r="C46" s="26" t="str">
        <x:v>BASELINE</x:v>
      </x:c>
      <x:c r="D46" s="26" t="str">
        <x:v>EVIDENCE_TO_MAP</x:v>
      </x:c>
      <x:c r="E46" s="26" t="str">
        <x:v>Cover approved mechanism families with explicit data support.</x:v>
      </x:c>
      <x:c r="F46" s="26" t="str">
        <x:v>Price, trend, value, volatility, flow, derivatives and cross-market evidence need an extensible contract.</x:v>
      </x:c>
      <x:c r="G46" s="26" t="str">
        <x:v>A capability catalog maps enabled families to real data/feature contracts and marks unsupported examples; no requirement to implement every example indicator.</x:v>
      </x:c>
      <x:c r="H46" s="26" t="str">
        <x:v>Current order-book snapshots cannot establish historical microstructure evidence; unsupported sources stay unsupported.</x:v>
      </x:c>
      <x:c r="I46" s="26" t="str">
        <x:v>Prereqs: WRLD-01</x:v>
      </x:c>
      <x:c r="J46" s="26" t="str">
        <x:v>Perception &amp; WorldModel owner</x:v>
      </x:c>
      <x:c r="K46" s="26" t="str">
        <x:v>STAGE_LEVEL_HISTORY_ONLY</x:v>
      </x:c>
      <x:c r="L46" s="26" t="str">
        <x:v>NOT_MAPPED</x:v>
      </x:c>
      <x:c r="M46" s="26" t="str">
        <x:v>NOT_APPLICABLE</x:v>
      </x:c>
      <x:c r="N46" s="26" t="str">
        <x:v>Historical stage/package build claims exist; not yet mapped to this exact row. This is not a missing-implementation finding and does not reopen prior closures.</x:v>
      </x:c>
      <x:c r="O46" s="26" t="str">
        <x:v>Map existing exact evidence first; implement only a demonstrated gap, then satisfy this row's closure condition.</x:v>
      </x:c>
      <x:c r="P46" s="26" t="str">
        <x:v>S01, S02, S12 | §7.1–7.7</x:v>
      </x:c>
      <x:c r="Q46" s="26" t="str">
        <x:v>https://github.com/sarmadkhan17/Luffy/blob/9385f792f32277bb0b826dba83247b8f5ccf1f8a/SDD.md</x:v>
      </x:c>
    </x:row>
    <x:row r="47" ht="92" customHeight="1">
      <x:c r="A47" s="30" t="str">
        <x:v>WRLD-03</x:v>
      </x:c>
      <x:c r="B47" s="26" t="str">
        <x:v>Perception &amp; WorldModel</x:v>
      </x:c>
      <x:c r="C47" s="26" t="str">
        <x:v>BASELINE</x:v>
      </x:c>
      <x:c r="D47" s="26" t="str">
        <x:v>EVIDENCE_TO_MAP</x:v>
      </x:c>
      <x:c r="E47" s="26" t="str">
        <x:v>Maintain hierarchical, multi-horizon WorldModel state.</x:v>
      </x:c>
      <x:c r="F47" s="26" t="str">
        <x:v>Avoids a single contradictory global market label.</x:v>
      </x:c>
      <x:c r="G47" s="26" t="str">
        <x:v>Global, asset-class, group, instrument and relationship states preserve relevant horizons, dimensions and conflicts through a stable query.</x:v>
      </x:c>
      <x:c r="H47" s="26" t="str">
        <x:v>Short- and long-horizon disagreement is not collapsed or filled by narrative.</x:v>
      </x:c>
      <x:c r="I47" s="26" t="str">
        <x:v>Prereqs: DATA-02, WRLD-01</x:v>
      </x:c>
      <x:c r="J47" s="26" t="str">
        <x:v>Perception &amp; WorldModel owner</x:v>
      </x:c>
      <x:c r="K47" s="26" t="str">
        <x:v>STAGE_LEVEL_HISTORY_ONLY</x:v>
      </x:c>
      <x:c r="L47" s="26" t="str">
        <x:v>NOT_MAPPED</x:v>
      </x:c>
      <x:c r="M47" s="26" t="str">
        <x:v>NOT_APPLICABLE</x:v>
      </x:c>
      <x:c r="N47" s="26" t="str">
        <x:v>Historical stage/package build claims exist; not yet mapped to this exact row. This is not a missing-implementation finding and does not reopen prior closures.</x:v>
      </x:c>
      <x:c r="O47" s="26" t="str">
        <x:v>Map existing exact evidence first; implement only a demonstrated gap, then satisfy this row's closure condition.</x:v>
      </x:c>
      <x:c r="P47" s="26" t="str">
        <x:v>S01, S02, S12 | §§9,33.3</x:v>
      </x:c>
      <x:c r="Q47" s="26" t="str">
        <x:v>https://github.com/sarmadkhan17/Luffy/blob/9385f792f32277bb0b826dba83247b8f5ccf1f8a/SDD.md</x:v>
      </x:c>
    </x:row>
    <x:row r="48" ht="92" customHeight="1">
      <x:c r="A48" s="30" t="str">
        <x:v>WRLD-04</x:v>
      </x:c>
      <x:c r="B48" s="26" t="str">
        <x:v>Perception &amp; WorldModel</x:v>
      </x:c>
      <x:c r="C48" s="26" t="str">
        <x:v>BASELINE</x:v>
      </x:c>
      <x:c r="D48" s="26" t="str">
        <x:v>EVIDENCE_TO_MAP</x:v>
      </x:c>
      <x:c r="E48" s="26" t="str">
        <x:v>Attach claim confidence to supporting/contradicting evidence.</x:v>
      </x:c>
      <x:c r="F48" s="26" t="str">
        <x:v>Confidence must have traceable grounds.</x:v>
      </x:c>
      <x:c r="G48" s="26" t="str">
        <x:v>Claims retain provenance, support, contradictions and versioned confidence/validity history.</x:v>
      </x:c>
      <x:c r="H48" s="26" t="str">
        <x:v>New confidence cannot overwrite observed facts or erase old contradictions.</x:v>
      </x:c>
      <x:c r="I48" s="26" t="str">
        <x:v>Prereqs: WRLD-03</x:v>
      </x:c>
      <x:c r="J48" s="26" t="str">
        <x:v>Perception &amp; WorldModel owner</x:v>
      </x:c>
      <x:c r="K48" s="26" t="str">
        <x:v>STAGE_LEVEL_HISTORY_ONLY</x:v>
      </x:c>
      <x:c r="L48" s="26" t="str">
        <x:v>NOT_MAPPED</x:v>
      </x:c>
      <x:c r="M48" s="26" t="str">
        <x:v>NOT_APPLICABLE</x:v>
      </x:c>
      <x:c r="N48" s="26" t="str">
        <x:v>Historical stage/package build claims exist; not yet mapped to this exact row. This is not a missing-implementation finding and does not reopen prior closures.</x:v>
      </x:c>
      <x:c r="O48" s="26" t="str">
        <x:v>Map existing exact evidence first; implement only a demonstrated gap, then satisfy this row's closure condition.</x:v>
      </x:c>
      <x:c r="P48" s="26" t="str">
        <x:v>S01, S02, S12 | §9.2</x:v>
      </x:c>
      <x:c r="Q48" s="26" t="str">
        <x:v>https://github.com/sarmadkhan17/Luffy/blob/9385f792f32277bb0b826dba83247b8f5ccf1f8a/SDD.md</x:v>
      </x:c>
    </x:row>
    <x:row r="49" ht="92" customHeight="1">
      <x:c r="A49" s="30" t="str">
        <x:v>WRLD-05</x:v>
      </x:c>
      <x:c r="B49" s="26" t="str">
        <x:v>Perception &amp; WorldModel</x:v>
      </x:c>
      <x:c r="C49" s="26" t="str">
        <x:v>BASELINE</x:v>
      </x:c>
      <x:c r="D49" s="26" t="str">
        <x:v>EVIDENCE_TO_MAP</x:v>
      </x:c>
      <x:c r="E49" s="26" t="str">
        <x:v>Use the same typed current/historical context in strategies and research.</x:v>
      </x:c>
      <x:c r="F49" s="26" t="str">
        <x:v>A test-only API does not establish normal-path integration.</x:v>
      </x:c>
      <x:c r="G49" s="26" t="str">
        <x:v>Normal strategy and research consumers use stable WorldModel queries; exact historical context reconstructs from retained sources.</x:v>
      </x:c>
      <x:c r="H49" s="26" t="str">
        <x:v>No scraping arbitrary internals or claiming historical support for a live-only dependency.</x:v>
      </x:c>
      <x:c r="I49" s="26" t="str">
        <x:v>Prereqs: WRLD-03, DATA-05</x:v>
      </x:c>
      <x:c r="J49" s="26" t="str">
        <x:v>Perception &amp; WorldModel owner</x:v>
      </x:c>
      <x:c r="K49" s="26" t="str">
        <x:v>STAGE_LEVEL_HISTORY_ONLY</x:v>
      </x:c>
      <x:c r="L49" s="26" t="str">
        <x:v>NOT_MAPPED</x:v>
      </x:c>
      <x:c r="M49" s="26" t="str">
        <x:v>NOT_APPLICABLE</x:v>
      </x:c>
      <x:c r="N49" s="26" t="str">
        <x:v>Historical stage/package build claims exist; not yet mapped to this exact row. This is not a missing-implementation finding and does not reopen prior closures.</x:v>
      </x:c>
      <x:c r="O49" s="26" t="str">
        <x:v>Map existing exact evidence first; implement only a demonstrated gap, then satisfy this row's closure condition.</x:v>
      </x:c>
      <x:c r="P49" s="26" t="str">
        <x:v>S01, S02, S12 | §§9.3,14.4,30 Stage 2</x:v>
      </x:c>
      <x:c r="Q49" s="26" t="str">
        <x:v>https://github.com/sarmadkhan17/Luffy/blob/9385f792f32277bb0b826dba83247b8f5ccf1f8a/SDD.md</x:v>
      </x:c>
    </x:row>
    <x:row r="50" ht="92" customHeight="1">
      <x:c r="A50" s="30" t="str">
        <x:v>WRLD-06</x:v>
      </x:c>
      <x:c r="B50" s="26" t="str">
        <x:v>Perception &amp; WorldModel</x:v>
      </x:c>
      <x:c r="C50" s="26" t="str">
        <x:v>BASELINE</x:v>
      </x:c>
      <x:c r="D50" s="26" t="str">
        <x:v>EVIDENCE_TO_MAP</x:v>
      </x:c>
      <x:c r="E50" s="26" t="str">
        <x:v>Read only learning revisions available at the historical query cut.</x:v>
      </x:c>
      <x:c r="F50" s="26" t="str">
        <x:v>Stops future learning leaking into old WorldModel/Attention/Portfolio queries.</x:v>
      </x:c>
      <x:c r="G50" s="26" t="str">
        <x:v>Exact-cut, future, multiple-revision and restart queries select the correct applied revision; immutable base claims remain unchanged.</x:v>
      </x:c>
      <x:c r="H50" s="26" t="str">
        <x:v>Latest revision applied after T cannot affect any as_of=T consumer.</x:v>
      </x:c>
      <x:c r="I50" s="26" t="str">
        <x:v>Prereqs: WRLD-04, DATA-05</x:v>
      </x:c>
      <x:c r="J50" s="26" t="str">
        <x:v>Perception &amp; WorldModel owner</x:v>
      </x:c>
      <x:c r="K50" s="26" t="str">
        <x:v>STAGE_LEVEL_HISTORY_ONLY</x:v>
      </x:c>
      <x:c r="L50" s="26" t="str">
        <x:v>NOT_MAPPED</x:v>
      </x:c>
      <x:c r="M50" s="26" t="str">
        <x:v>NOT_APPLICABLE</x:v>
      </x:c>
      <x:c r="N50" s="26" t="str">
        <x:v>Historical stage/package build claims exist; not yet mapped to this exact row. This is not a missing-implementation finding and does not reopen prior closures.</x:v>
      </x:c>
      <x:c r="O50" s="26" t="str">
        <x:v>Map existing exact evidence first; implement only a demonstrated gap, then satisfy this row's closure condition.</x:v>
      </x:c>
      <x:c r="P50" s="26" t="str">
        <x:v>S01, S02, S12 | §§6.2,19.3,21</x:v>
      </x:c>
      <x:c r="Q50" s="26" t="str">
        <x:v>https://github.com/sarmadkhan17/Luffy/blob/9385f792f32277bb0b826dba83247b8f5ccf1f8a/SDD.md</x:v>
      </x:c>
    </x:row>
    <x:row r="51" ht="92" customHeight="1">
      <x:c r="A51" s="30" t="str">
        <x:v>WRLD-07</x:v>
      </x:c>
      <x:c r="B51" s="26" t="str">
        <x:v>Perception &amp; WorldModel</x:v>
      </x:c>
      <x:c r="C51" s="26" t="str">
        <x:v>BASELINE</x:v>
      </x:c>
      <x:c r="D51" s="26" t="str">
        <x:v>EVIDENCE_TO_MAP</x:v>
      </x:c>
      <x:c r="E51" s="26" t="str">
        <x:v>Measure changing relationships rather than assume permanent correlations.</x:v>
      </x:c>
      <x:c r="F51" s="26" t="str">
        <x:v>Different instruments can be the same bet or relationships can fail.</x:v>
      </x:c>
      <x:c r="G51" s="26" t="str">
        <x:v>Relationship state records measured scope/window/quality and context; approved methods expose assumptions and instability.</x:v>
      </x:c>
      <x:c r="H51" s="26" t="str">
        <x:v>No permanent beta/correlation doctrine, guessed attribution or untested cointegration claim.</x:v>
      </x:c>
      <x:c r="I51" s="26" t="str">
        <x:v>Prereqs: WRLD-03</x:v>
      </x:c>
      <x:c r="J51" s="26" t="str">
        <x:v>Perception &amp; WorldModel owner</x:v>
      </x:c>
      <x:c r="K51" s="26" t="str">
        <x:v>STAGE_LEVEL_HISTORY_ONLY</x:v>
      </x:c>
      <x:c r="L51" s="26" t="str">
        <x:v>NOT_MAPPED</x:v>
      </x:c>
      <x:c r="M51" s="26" t="str">
        <x:v>NOT_APPLICABLE</x:v>
      </x:c>
      <x:c r="N51" s="26" t="str">
        <x:v>Historical stage/package build claims exist; not yet mapped to this exact row. This is not a missing-implementation finding and does not reopen prior closures.</x:v>
      </x:c>
      <x:c r="O51" s="26" t="str">
        <x:v>Map existing exact evidence first; implement only a demonstrated gap, then satisfy this row's closure condition.</x:v>
      </x:c>
      <x:c r="P51" s="26" t="str">
        <x:v>S01, S02, S12 | §§7.7,9,16.2</x:v>
      </x:c>
      <x:c r="Q51" s="26" t="str">
        <x:v>https://github.com/sarmadkhan17/Luffy/blob/9385f792f32277bb0b826dba83247b8f5ccf1f8a/SDD.md</x:v>
      </x:c>
    </x:row>
    <x:row r="52" ht="92" customHeight="1">
      <x:c r="A52" s="30" t="str">
        <x:v>ATT-01</x:v>
      </x:c>
      <x:c r="B52" s="26" t="str">
        <x:v>Attention &amp; research</x:v>
      </x:c>
      <x:c r="C52" s="26" t="str">
        <x:v>BASELINE</x:v>
      </x:c>
      <x:c r="D52" s="26" t="str">
        <x:v>EVIDENCE_TO_MAP</x:v>
      </x:c>
      <x:c r="E52" s="26" t="str">
        <x:v>Choose where to investigate from eligible universe and real triggers.</x:v>
      </x:c>
      <x:c r="F52" s="26" t="str">
        <x:v>Autonomy starts with deciding what deserves compute.</x:v>
      </x:c>
      <x:c r="G52" s="26" t="str">
        <x:v>A supported normal event creates ranked investigation candidates with instrument, reasons, urgency/cost and source identity.</x:v>
      </x:c>
      <x:c r="H52" s="26" t="str">
        <x:v>Zero eligible candidates is distinct from failed/incomplete capture; no trade/size authority.</x:v>
      </x:c>
      <x:c r="I52" s="26" t="str">
        <x:v>Prereqs: DATA-06, WRLD-03</x:v>
      </x:c>
      <x:c r="J52" s="26" t="str">
        <x:v>Attention &amp; research owner</x:v>
      </x:c>
      <x:c r="K52" s="26" t="str">
        <x:v>STAGE_LEVEL_HISTORY_ONLY</x:v>
      </x:c>
      <x:c r="L52" s="26" t="str">
        <x:v>NOT_MAPPED</x:v>
      </x:c>
      <x:c r="M52" s="26" t="str">
        <x:v>NOT_APPLICABLE</x:v>
      </x:c>
      <x:c r="N52" s="26" t="str">
        <x:v>Historical stage/package build claims exist; not yet mapped to this exact row. This is not a missing-implementation finding and does not reopen prior closures.</x:v>
      </x:c>
      <x:c r="O52" s="26" t="str">
        <x:v>Map existing exact evidence first; implement only a demonstrated gap, then satisfy this row's closure condition.</x:v>
      </x:c>
      <x:c r="P52" s="26" t="str">
        <x:v>S01, S02, S06, S14 | §§8,33.1,35.1</x:v>
      </x:c>
      <x:c r="Q52" s="26" t="str">
        <x:v>https://github.com/sarmadkhan17/Luffy/blob/9385f792f32277bb0b826dba83247b8f5ccf1f8a/SDD.md</x:v>
      </x:c>
    </x:row>
    <x:row r="53" ht="92" customHeight="1">
      <x:c r="A53" s="30" t="str">
        <x:v>ATT-02</x:v>
      </x:c>
      <x:c r="B53" s="26" t="str">
        <x:v>Attention &amp; research</x:v>
      </x:c>
      <x:c r="C53" s="26" t="str">
        <x:v>BASELINE</x:v>
      </x:c>
      <x:c r="D53" s="26" t="str">
        <x:v>EVIDENCE_TO_MAP</x:v>
      </x:c>
      <x:c r="E53" s="26" t="str">
        <x:v>Complete scan/cause capture through the real worker and source reader.</x:v>
      </x:c>
      <x:c r="F53" s="26" t="str">
        <x:v>Broken telemetry cannot be reported as no interesting market.</x:v>
      </x:c>
      <x:c r="G53" s="26" t="str">
        <x:v>Normal capture→transport→store→evaluator→bound completion proof works at observed scale and within existing bounds.</x:v>
      </x:c>
      <x:c r="H53" s="26" t="str">
        <x:v>Malformed metadata, corrupt/missing receipts, partial shutdown and future cuts refuse explicitly.</x:v>
      </x:c>
      <x:c r="I53" s="26" t="str">
        <x:v>Prereqs: ATT-01, DATA-07</x:v>
      </x:c>
      <x:c r="J53" s="26" t="str">
        <x:v>Attention &amp; research owner</x:v>
      </x:c>
      <x:c r="K53" s="26" t="str">
        <x:v>STAGE_LEVEL_HISTORY_ONLY</x:v>
      </x:c>
      <x:c r="L53" s="26" t="str">
        <x:v>NOT_MAPPED</x:v>
      </x:c>
      <x:c r="M53" s="26" t="str">
        <x:v>NOT_APPLICABLE</x:v>
      </x:c>
      <x:c r="N53" s="26" t="str">
        <x:v>S16: scan and causes completion proofs reported; still requires exact row-level scope mapping. Historical stage/package build claims exist; not yet mapped to this exact row. This is not a missing-implementation finding and does not reopen prior closures.</x:v>
      </x:c>
      <x:c r="O53" s="26" t="str">
        <x:v>Map existing exact evidence first; implement only a demonstrated gap, then satisfy this row's closure condition.</x:v>
      </x:c>
      <x:c r="P53" s="26" t="str">
        <x:v>S01, S02, S06, S14, S16 | §§6.5,8,28</x:v>
      </x:c>
      <x:c r="Q53" s="26" t="str">
        <x:v>https://github.com/sarmadkhan17/Luffy/blob/9385f792f32277bb0b826dba83247b8f5ccf1f8a/SDD.md</x:v>
      </x:c>
    </x:row>
    <x:row r="54" ht="92" customHeight="1">
      <x:c r="A54" s="30" t="str">
        <x:v>ATT-03</x:v>
      </x:c>
      <x:c r="B54" s="26" t="str">
        <x:v>Attention &amp; research</x:v>
      </x:c>
      <x:c r="C54" s="26" t="str">
        <x:v>BASELINE</x:v>
      </x:c>
      <x:c r="D54" s="26" t="str">
        <x:v>EVIDENCE_TO_MAP</x:v>
      </x:c>
      <x:c r="E54" s="26" t="str">
        <x:v>Distinguish warm-up from errors and prioritize without invented salience.</x:v>
      </x:c>
      <x:c r="F54" s="26" t="str">
        <x:v>Insufficient eligible history must not become a negative signal.</x:v>
      </x:c>
      <x:c r="G54" s="26" t="str">
        <x:v>Warm-up evidence states required history/availability and becomes eligible only through valid acquisition; ranking uses approved calibrated components.</x:v>
      </x:c>
      <x:c r="H54" s="26" t="str">
        <x:v>No clock rewrite, forced selection, arbitrary new weights or historical date-only eligibility.</x:v>
      </x:c>
      <x:c r="I54" s="26" t="str">
        <x:v>Prereqs: ATT-01, DATA-04</x:v>
      </x:c>
      <x:c r="J54" s="26" t="str">
        <x:v>Attention &amp; research owner</x:v>
      </x:c>
      <x:c r="K54" s="26" t="str">
        <x:v>STAGE_LEVEL_HISTORY_ONLY</x:v>
      </x:c>
      <x:c r="L54" s="26" t="str">
        <x:v>NOT_MAPPED</x:v>
      </x:c>
      <x:c r="M54" s="26" t="str">
        <x:v>NOT_APPLICABLE</x:v>
      </x:c>
      <x:c r="N54" s="26" t="str">
        <x:v>Historical stage/package build claims exist; not yet mapped to this exact row. This is not a missing-implementation finding and does not reopen prior closures.</x:v>
      </x:c>
      <x:c r="O54" s="26" t="str">
        <x:v>Map existing exact evidence first; implement only a demonstrated gap, then satisfy this row's closure condition.</x:v>
      </x:c>
      <x:c r="P54" s="26" t="str">
        <x:v>S01, S02, S06, S14 | §§8.2,6.2</x:v>
      </x:c>
      <x:c r="Q54" s="26" t="str">
        <x:v>https://github.com/sarmadkhan17/Luffy/blob/9385f792f32277bb0b826dba83247b8f5ccf1f8a/SDD.md</x:v>
      </x:c>
    </x:row>
    <x:row r="55" ht="92" customHeight="1">
      <x:c r="A55" s="30" t="str">
        <x:v>RES-01</x:v>
      </x:c>
      <x:c r="B55" s="26" t="str">
        <x:v>Attention &amp; research</x:v>
      </x:c>
      <x:c r="C55" s="26" t="str">
        <x:v>BASELINE</x:v>
      </x:c>
      <x:c r="D55" s="26" t="str">
        <x:v>EVIDENCE_TO_MAP</x:v>
      </x:c>
      <x:c r="E55" s="26" t="str">
        <x:v>Generate a research question from an actual supported event.</x:v>
      </x:c>
      <x:c r="F55" s="26" t="str">
        <x:v>A website scraper alone is not autonomous research.</x:v>
      </x:c>
      <x:c r="G55" s="26" t="str">
        <x:v>An anomaly/loss/decay/contradiction/owner question produces a typed question with lineage through the normal producer.</x:v>
      </x:c>
      <x:c r="H55" s="26" t="str">
        <x:v>No always-busy question fabrication or manual registration needed for the supported path.</x:v>
      </x:c>
      <x:c r="I55" s="26" t="str">
        <x:v>Prereqs: ATT-01</x:v>
      </x:c>
      <x:c r="J55" s="26" t="str">
        <x:v>Attention &amp; research owner</x:v>
      </x:c>
      <x:c r="K55" s="26" t="str">
        <x:v>STAGE_LEVEL_HISTORY_ONLY</x:v>
      </x:c>
      <x:c r="L55" s="26" t="str">
        <x:v>NOT_MAPPED</x:v>
      </x:c>
      <x:c r="M55" s="26" t="str">
        <x:v>NOT_APPLICABLE</x:v>
      </x:c>
      <x:c r="N55" s="26" t="str">
        <x:v>Historical stage/package build claims exist; not yet mapped to this exact row. This is not a missing-implementation finding and does not reopen prior closures.</x:v>
      </x:c>
      <x:c r="O55" s="26" t="str">
        <x:v>Map existing exact evidence first; implement only a demonstrated gap, then satisfy this row's closure condition.</x:v>
      </x:c>
      <x:c r="P55" s="26" t="str">
        <x:v>S01, S02, S06, S14 | §§10,12.1–12.2,33.2</x:v>
      </x:c>
      <x:c r="Q55" s="26" t="str">
        <x:v>https://github.com/sarmadkhan17/Luffy/blob/9385f792f32277bb0b826dba83247b8f5ccf1f8a/SDD.md</x:v>
      </x:c>
    </x:row>
    <x:row r="56" ht="92" customHeight="1">
      <x:c r="A56" s="30" t="str">
        <x:v>RES-02</x:v>
      </x:c>
      <x:c r="B56" s="26" t="str">
        <x:v>Attention &amp; research</x:v>
      </x:c>
      <x:c r="C56" s="26" t="str">
        <x:v>BASELINE</x:v>
      </x:c>
      <x:c r="D56" s="26" t="str">
        <x:v>EVIDENCE_TO_MAP</x:v>
      </x:c>
      <x:c r="E56" s="26" t="str">
        <x:v>Route questions to authoritative internal/external source classes.</x:v>
      </x:c>
      <x:c r="F56" s="26" t="str">
        <x:v>Research should start from a question, not owner URLs.</x:v>
      </x:c>
      <x:c r="G56" s="26" t="str">
        <x:v>Normal generated question reaches the worker/router and justified source choices without operator priming.</x:v>
      </x:c>
      <x:c r="H56" s="26" t="str">
        <x:v>Unsupported shape or absent source refuses truthfully; manual URL list cannot substitute for router proof.</x:v>
      </x:c>
      <x:c r="I56" s="26" t="str">
        <x:v>Prereqs: RES-01</x:v>
      </x:c>
      <x:c r="J56" s="26" t="str">
        <x:v>Attention &amp; research owner</x:v>
      </x:c>
      <x:c r="K56" s="26" t="str">
        <x:v>STAGE_LEVEL_HISTORY_ONLY</x:v>
      </x:c>
      <x:c r="L56" s="26" t="str">
        <x:v>NOT_MAPPED</x:v>
      </x:c>
      <x:c r="M56" s="26" t="str">
        <x:v>NOT_APPLICABLE</x:v>
      </x:c>
      <x:c r="N56" s="26" t="str">
        <x:v>Historical stage/package build claims exist; not yet mapped to this exact row. This is not a missing-implementation finding and does not reopen prior closures.</x:v>
      </x:c>
      <x:c r="O56" s="26" t="str">
        <x:v>Map existing exact evidence first; implement only a demonstrated gap, then satisfy this row's closure condition.</x:v>
      </x:c>
      <x:c r="P56" s="26" t="str">
        <x:v>S01, S02, S06, S14 | §12.3</x:v>
      </x:c>
      <x:c r="Q56" s="26" t="str">
        <x:v>https://github.com/sarmadkhan17/Luffy/blob/9385f792f32277bb0b826dba83247b8f5ccf1f8a/SDD.md</x:v>
      </x:c>
    </x:row>
    <x:row r="57" ht="92" customHeight="1">
      <x:c r="A57" s="30" t="str">
        <x:v>RES-03</x:v>
      </x:c>
      <x:c r="B57" s="26" t="str">
        <x:v>Attention &amp; research</x:v>
      </x:c>
      <x:c r="C57" s="26" t="str">
        <x:v>BASELINE</x:v>
      </x:c>
      <x:c r="D57" s="26" t="str">
        <x:v>EVIDENCE_TO_MAP</x:v>
      </x:c>
      <x:c r="E57" s="26" t="str">
        <x:v>Maintain source registry, discovery and governed adoption.</x:v>
      </x:c>
      <x:c r="F57" s="26" t="str">
        <x:v>Sources differ in trust, cost, history and rate limits.</x:v>
      </x:c>
      <x:c r="G57" s="26" t="str">
        <x:v>Registry records source/access/credibility/cost/depth/rate limits/weaknesses; new sources follow scope and paid-approval rules.</x:v>
      </x:c>
      <x:c r="H57" s="26" t="str">
        <x:v>An external claim or credential cannot confer trading or spending authority.</x:v>
      </x:c>
      <x:c r="I57" s="26" t="str">
        <x:v>Prereqs: RES-02, SEC-01</x:v>
      </x:c>
      <x:c r="J57" s="26" t="str">
        <x:v>Attention &amp; research owner</x:v>
      </x:c>
      <x:c r="K57" s="26" t="str">
        <x:v>STAGE_LEVEL_HISTORY_ONLY</x:v>
      </x:c>
      <x:c r="L57" s="26" t="str">
        <x:v>NOT_MAPPED</x:v>
      </x:c>
      <x:c r="M57" s="26" t="str">
        <x:v>NOT_APPLICABLE</x:v>
      </x:c>
      <x:c r="N57" s="26" t="str">
        <x:v>Historical stage/package build claims exist; not yet mapped to this exact row. This is not a missing-implementation finding and does not reopen prior closures.</x:v>
      </x:c>
      <x:c r="O57" s="26" t="str">
        <x:v>Map existing exact evidence first; implement only a demonstrated gap, then satisfy this row's closure condition.</x:v>
      </x:c>
      <x:c r="P57" s="26" t="str">
        <x:v>S01, S02, S06, S14 | §§12.4,23.2–23.3</x:v>
      </x:c>
      <x:c r="Q57" s="26" t="str">
        <x:v>https://github.com/sarmadkhan17/Luffy/blob/9385f792f32277bb0b826dba83247b8f5ccf1f8a/SDD.md</x:v>
      </x:c>
    </x:row>
    <x:row r="58" ht="92" customHeight="1">
      <x:c r="A58" s="30" t="str">
        <x:v>RES-04</x:v>
      </x:c>
      <x:c r="B58" s="26" t="str">
        <x:v>Attention &amp; research</x:v>
      </x:c>
      <x:c r="C58" s="26" t="str">
        <x:v>BASELINE</x:v>
      </x:c>
      <x:c r="D58" s="26" t="str">
        <x:v>EVIDENCE_TO_MAP</x:v>
      </x:c>
      <x:c r="E58" s="26" t="str">
        <x:v>Search/filter/deduplicate/extract before expensive reasoning.</x:v>
      </x:c>
      <x:c r="F58" s="26" t="str">
        <x:v>Prevents paying to repeatedly process irrelevant documents.</x:v>
      </x:c>
      <x:c r="G58" s="26" t="str">
        <x:v>Supported question path retrieves relevant bounded passages with hashes/versions and reports search/relevance/coverage limits.</x:v>
      </x:c>
      <x:c r="H58" s="26" t="str">
        <x:v>No whole-web-to-LLM pipeline, duplicate paid call or dropped source provenance.</x:v>
      </x:c>
      <x:c r="I58" s="26" t="str">
        <x:v>Prereqs: RES-03, LLM-02</x:v>
      </x:c>
      <x:c r="J58" s="26" t="str">
        <x:v>Attention &amp; research owner</x:v>
      </x:c>
      <x:c r="K58" s="26" t="str">
        <x:v>STAGE_LEVEL_HISTORY_ONLY</x:v>
      </x:c>
      <x:c r="L58" s="26" t="str">
        <x:v>NOT_MAPPED</x:v>
      </x:c>
      <x:c r="M58" s="26" t="str">
        <x:v>NOT_APPLICABLE</x:v>
      </x:c>
      <x:c r="N58" s="26" t="str">
        <x:v>Historical stage/package build claims exist; not yet mapped to this exact row. This is not a missing-implementation finding and does not reopen prior closures.</x:v>
      </x:c>
      <x:c r="O58" s="26" t="str">
        <x:v>Map existing exact evidence first; implement only a demonstrated gap, then satisfy this row's closure condition.</x:v>
      </x:c>
      <x:c r="P58" s="26" t="str">
        <x:v>S01, S02, S06, S14 | §12.5</x:v>
      </x:c>
      <x:c r="Q58" s="26" t="str">
        <x:v>https://github.com/sarmadkhan17/Luffy/blob/9385f792f32277bb0b826dba83247b8f5ccf1f8a/SDD.md</x:v>
      </x:c>
    </x:row>
    <x:row r="59" ht="92" customHeight="1">
      <x:c r="A59" s="30" t="str">
        <x:v>RES-05</x:v>
      </x:c>
      <x:c r="B59" s="26" t="str">
        <x:v>Attention &amp; research</x:v>
      </x:c>
      <x:c r="C59" s="26" t="str">
        <x:v>BASELINE</x:v>
      </x:c>
      <x:c r="D59" s="26" t="str">
        <x:v>EVIDENCE_TO_MAP</x:v>
      </x:c>
      <x:c r="E59" s="26" t="str">
        <x:v>Retain structured Research Bank results and next questions.</x:v>
      </x:c>
      <x:c r="F59" s="26" t="str">
        <x:v>Bookmarks and logs alone cannot close the research loop.</x:v>
      </x:c>
      <x:c r="G59" s="26" t="str">
        <x:v>Question, sources, claims, support/contradiction, experiment, conclusion, limitations, cost and next question are linked in normal persistence.</x:v>
      </x:c>
      <x:c r="H59" s="26" t="str">
        <x:v>Refuted/inconclusive results are first-class; missing source is not fabricated support.</x:v>
      </x:c>
      <x:c r="I59" s="26" t="str">
        <x:v>Prereqs: RES-04</x:v>
      </x:c>
      <x:c r="J59" s="26" t="str">
        <x:v>Attention &amp; research owner</x:v>
      </x:c>
      <x:c r="K59" s="26" t="str">
        <x:v>STAGE_LEVEL_HISTORY_ONLY</x:v>
      </x:c>
      <x:c r="L59" s="26" t="str">
        <x:v>NOT_MAPPED</x:v>
      </x:c>
      <x:c r="M59" s="26" t="str">
        <x:v>NOT_APPLICABLE</x:v>
      </x:c>
      <x:c r="N59" s="26" t="str">
        <x:v>Historical stage/package build claims exist; not yet mapped to this exact row. This is not a missing-implementation finding and does not reopen prior closures.</x:v>
      </x:c>
      <x:c r="O59" s="26" t="str">
        <x:v>Map existing exact evidence first; implement only a demonstrated gap, then satisfy this row's closure condition.</x:v>
      </x:c>
      <x:c r="P59" s="26" t="str">
        <x:v>S01, S02, S06, S14 | §12.6</x:v>
      </x:c>
      <x:c r="Q59" s="26" t="str">
        <x:v>https://github.com/sarmadkhan17/Luffy/blob/9385f792f32277bb0b826dba83247b8f5ccf1f8a/SDD.md</x:v>
      </x:c>
    </x:row>
    <x:row r="60" ht="92" customHeight="1">
      <x:c r="A60" s="30" t="str">
        <x:v>RES-06</x:v>
      </x:c>
      <x:c r="B60" s="26" t="str">
        <x:v>Attention &amp; research</x:v>
      </x:c>
      <x:c r="C60" s="26" t="str">
        <x:v>BASELINE</x:v>
      </x:c>
      <x:c r="D60" s="26" t="str">
        <x:v>EVIDENCE_TO_MAP</x:v>
      </x:c>
      <x:c r="E60" s="26" t="str">
        <x:v>Remember failed research and reconsider it only under governed conditions.</x:v>
      </x:c>
      <x:c r="F60" s="26" t="str">
        <x:v>Avoids both wasteful repetition and permanent suppression.</x:v>
      </x:c>
      <x:c r="G60" s="26" t="str">
        <x:v>Prior failure is recalled; genuinely new evidence/identity or registered reconsideration policy can reopen research without erasing history.</x:v>
      </x:c>
      <x:c r="H60" s="26" t="str">
        <x:v>Same request cannot repeatedly spend; EMPTY/UNAVAILABLE must not suppress changed evidence forever.</x:v>
      </x:c>
      <x:c r="I60" s="26" t="str">
        <x:v>Prereqs: RES-05</x:v>
      </x:c>
      <x:c r="J60" s="26" t="str">
        <x:v>Attention &amp; research owner</x:v>
      </x:c>
      <x:c r="K60" s="26" t="str">
        <x:v>STAGE_LEVEL_HISTORY_ONLY</x:v>
      </x:c>
      <x:c r="L60" s="26" t="str">
        <x:v>NOT_MAPPED</x:v>
      </x:c>
      <x:c r="M60" s="26" t="str">
        <x:v>NOT_APPLICABLE</x:v>
      </x:c>
      <x:c r="N60" s="26" t="str">
        <x:v>Historical stage/package build claims exist; not yet mapped to this exact row. This is not a missing-implementation finding and does not reopen prior closures.</x:v>
      </x:c>
      <x:c r="O60" s="26" t="str">
        <x:v>Map existing exact evidence first; implement only a demonstrated gap, then satisfy this row's closure condition.</x:v>
      </x:c>
      <x:c r="P60" s="26" t="str">
        <x:v>S01, S02, S06, S14 | §§12.6,20.3</x:v>
      </x:c>
      <x:c r="Q60" s="26" t="str">
        <x:v>https://github.com/sarmadkhan17/Luffy/blob/9385f792f32277bb0b826dba83247b8f5ccf1f8a/SDD.md</x:v>
      </x:c>
    </x:row>
    <x:row r="61" ht="92" customHeight="1">
      <x:c r="A61" s="30" t="str">
        <x:v>RES-07</x:v>
      </x:c>
      <x:c r="B61" s="26" t="str">
        <x:v>Attention &amp; research</x:v>
      </x:c>
      <x:c r="C61" s="26" t="str">
        <x:v>BASELINE</x:v>
      </x:c>
      <x:c r="D61" s="26" t="str">
        <x:v>EVIDENCE_TO_MAP</x:v>
      </x:c>
      <x:c r="E61" s="26" t="str">
        <x:v>Generate competing typed hypotheses without claiming untested predictive edge.</x:v>
      </x:c>
      <x:c r="F61" s="26" t="str">
        <x:v>Descriptive observations are not validated strategies.</x:v>
      </x:c>
      <x:c r="G61" s="26" t="str">
        <x:v>Supported source chain yields immutable proposal-only hypotheses with scope, observables, support/opposition and measurable test translation.</x:v>
      </x:c>
      <x:c r="H61" s="26" t="str">
        <x:v>Narrative causality, descriptive evidence or research priority cannot bypass quantitative gates.</x:v>
      </x:c>
      <x:c r="I61" s="26" t="str">
        <x:v>Prereqs: RES-05, WRLD-05</x:v>
      </x:c>
      <x:c r="J61" s="26" t="str">
        <x:v>Attention &amp; research owner</x:v>
      </x:c>
      <x:c r="K61" s="26" t="str">
        <x:v>STAGE_LEVEL_HISTORY_ONLY</x:v>
      </x:c>
      <x:c r="L61" s="26" t="str">
        <x:v>NOT_MAPPED</x:v>
      </x:c>
      <x:c r="M61" s="26" t="str">
        <x:v>NOT_APPLICABLE</x:v>
      </x:c>
      <x:c r="N61" s="26" t="str">
        <x:v>Historical stage/package build claims exist; not yet mapped to this exact row. This is not a missing-implementation finding and does not reopen prior closures.</x:v>
      </x:c>
      <x:c r="O61" s="26" t="str">
        <x:v>Map existing exact evidence first; implement only a demonstrated gap, then satisfy this row's closure condition.</x:v>
      </x:c>
      <x:c r="P61" s="26" t="str">
        <x:v>S01, S02, S06, S14 | §§10–11</x:v>
      </x:c>
      <x:c r="Q61" s="26" t="str">
        <x:v>https://github.com/sarmadkhan17/Luffy/blob/9385f792f32277bb0b826dba83247b8f5ccf1f8a/SDD.md</x:v>
      </x:c>
    </x:row>
    <x:row r="62" ht="92" customHeight="1">
      <x:c r="A62" s="30" t="str">
        <x:v>RES-08</x:v>
      </x:c>
      <x:c r="B62" s="26" t="str">
        <x:v>Attention &amp; research</x:v>
      </x:c>
      <x:c r="C62" s="26" t="str">
        <x:v>BASELINE</x:v>
      </x:c>
      <x:c r="D62" s="26" t="str">
        <x:v>EVIDENCE_TO_MAP</x:v>
      </x:c>
      <x:c r="E62" s="26" t="str">
        <x:v>Connect hypotheses to protected experiments and exact result feedback.</x:v>
      </x:c>
      <x:c r="F62" s="26" t="str">
        <x:v>Closes the research-to-test-to-next-question cycle.</x:v>
      </x:c>
      <x:c r="G62" s="26" t="str">
        <x:v>Normal bridge binds hypothesis/experiment/measurement/referee/Bank IDs; unsupported shapes and insufficient data stay explicit.</x:v>
      </x:c>
      <x:c r="H62" s="26" t="str">
        <x:v>Later inspected data cannot be relabelled untouched; duplicate submission/restart preserves identity.</x:v>
      </x:c>
      <x:c r="I62" s="26" t="str">
        <x:v>Prereqs: RES-07, QNT-01</x:v>
      </x:c>
      <x:c r="J62" s="26" t="str">
        <x:v>Attention &amp; research owner</x:v>
      </x:c>
      <x:c r="K62" s="26" t="str">
        <x:v>STAGE_LEVEL_HISTORY_ONLY</x:v>
      </x:c>
      <x:c r="L62" s="26" t="str">
        <x:v>NOT_MAPPED</x:v>
      </x:c>
      <x:c r="M62" s="26" t="str">
        <x:v>NOT_APPLICABLE</x:v>
      </x:c>
      <x:c r="N62" s="26" t="str">
        <x:v>Historical stage/package build claims exist; not yet mapped to this exact row. This is not a missing-implementation finding and does not reopen prior closures.</x:v>
      </x:c>
      <x:c r="O62" s="26" t="str">
        <x:v>Map existing exact evidence first; implement only a demonstrated gap, then satisfy this row's closure condition.</x:v>
      </x:c>
      <x:c r="P62" s="26" t="str">
        <x:v>S01, S02, S06, S14 | §§12.1,13,14.2</x:v>
      </x:c>
      <x:c r="Q62" s="26" t="str">
        <x:v>https://github.com/sarmadkhan17/Luffy/blob/9385f792f32277bb0b826dba83247b8f5ccf1f8a/SDD.md</x:v>
      </x:c>
    </x:row>
    <x:row r="63" ht="92" customHeight="1">
      <x:c r="A63" s="30" t="str">
        <x:v>RES-09</x:v>
      </x:c>
      <x:c r="B63" s="26" t="str">
        <x:v>Attention &amp; research</x:v>
      </x:c>
      <x:c r="C63" s="26" t="str">
        <x:v>BASELINE</x:v>
      </x:c>
      <x:c r="D63" s="26" t="str">
        <x:v>EVIDENCE_TO_MAP</x:v>
      </x:c>
      <x:c r="E63" s="26" t="str">
        <x:v>Bound research resource cost and expose blocked work.</x:v>
      </x:c>
      <x:c r="F63" s="26" t="str">
        <x:v>Research must yield to live safety without silently disappearing.</x:v>
      </x:c>
      <x:c r="G63" s="26" t="str">
        <x:v>Budget/scheduler evidence reports actual attempt, failure, cancellation, busy gate and supported completion; approval remains separate.</x:v>
      </x:c>
      <x:c r="H63" s="26" t="str">
        <x:v>No forced work, unbounded backlog, paid fallback or hidden permanent starvation.</x:v>
      </x:c>
      <x:c r="I63" s="26" t="str">
        <x:v>Prereqs: RUN-04, LLM-03</x:v>
      </x:c>
      <x:c r="J63" s="26" t="str">
        <x:v>Attention &amp; research owner</x:v>
      </x:c>
      <x:c r="K63" s="26" t="str">
        <x:v>STAGE_LEVEL_HISTORY_ONLY</x:v>
      </x:c>
      <x:c r="L63" s="26" t="str">
        <x:v>NOT_MAPPED</x:v>
      </x:c>
      <x:c r="M63" s="26" t="str">
        <x:v>NOT_APPLICABLE</x:v>
      </x:c>
      <x:c r="N63" s="26" t="str">
        <x:v>Historical stage/package build claims exist; not yet mapped to this exact row. This is not a missing-implementation finding and does not reopen prior closures.</x:v>
      </x:c>
      <x:c r="O63" s="26" t="str">
        <x:v>Map existing exact evidence first; implement only a demonstrated gap, then satisfy this row's closure condition.</x:v>
      </x:c>
      <x:c r="P63" s="26" t="str">
        <x:v>S01, S02, S06, S14 | §§5,8.3,12.5,22.4</x:v>
      </x:c>
      <x:c r="Q63" s="26" t="str">
        <x:v>https://github.com/sarmadkhan17/Luffy/blob/9385f792f32277bb0b826dba83247b8f5ccf1f8a/SDD.md</x:v>
      </x:c>
    </x:row>
    <x:row r="64" ht="92" customHeight="1">
      <x:c r="A64" s="30" t="str">
        <x:v>QNT-01</x:v>
      </x:c>
      <x:c r="B64" s="26" t="str">
        <x:v>Quant validation</x:v>
      </x:c>
      <x:c r="C64" s="26" t="str">
        <x:v>BASELINE</x:v>
      </x:c>
      <x:c r="D64" s="26" t="str">
        <x:v>EVIDENCE_TO_MAP</x:v>
      </x:c>
      <x:c r="E64" s="26" t="str">
        <x:v>Use cost-aware, reproducible quantitative definitions and evaluator parity.</x:v>
      </x:c>
      <x:c r="F64" s="26" t="str">
        <x:v>A favorable backtest statistic is not executable economic edge.</x:v>
      </x:c>
      <x:c r="G64" s="26" t="str">
        <x:v>Pinned input/code/config reproduce returns, costs, expectancy/drawdown and evaluator/backtest behaviour; labels and cost assumptions are explicit.</x:v>
      </x:c>
      <x:c r="H64" s="26" t="str">
        <x:v>No PF-only admission, estimated cost-as-actual or future data in labels/features.</x:v>
      </x:c>
      <x:c r="I64" s="26" t="str">
        <x:v>Prereqs: DATA-03, DATA-05</x:v>
      </x:c>
      <x:c r="J64" s="26" t="str">
        <x:v>Quant validation owner</x:v>
      </x:c>
      <x:c r="K64" s="26" t="str">
        <x:v>STAGE_LEVEL_HISTORY_ONLY</x:v>
      </x:c>
      <x:c r="L64" s="26" t="str">
        <x:v>NOT_MAPPED</x:v>
      </x:c>
      <x:c r="M64" s="26" t="str">
        <x:v>NOT_APPLICABLE</x:v>
      </x:c>
      <x:c r="N64" s="26" t="str">
        <x:v>Historical stage/package build claims exist; not yet mapped to this exact row. This is not a missing-implementation finding and does not reopen prior closures.</x:v>
      </x:c>
      <x:c r="O64" s="26" t="str">
        <x:v>Map existing exact evidence first; implement only a demonstrated gap, then satisfy this row's closure condition.</x:v>
      </x:c>
      <x:c r="P64" s="26" t="str">
        <x:v>S01, S02, S14 | §§13.1–13.4,19.3</x:v>
      </x:c>
      <x:c r="Q64" s="26" t="str">
        <x:v>https://github.com/sarmadkhan17/Luffy/blob/9385f792f32277bb0b826dba83247b8f5ccf1f8a/SDD.md</x:v>
      </x:c>
    </x:row>
    <x:row r="65" ht="92" customHeight="1">
      <x:c r="A65" s="30" t="str">
        <x:v>QNT-02</x:v>
      </x:c>
      <x:c r="B65" s="26" t="str">
        <x:v>Quant validation</x:v>
      </x:c>
      <x:c r="C65" s="26" t="str">
        <x:v>BASELINE</x:v>
      </x:c>
      <x:c r="D65" s="26" t="str">
        <x:v>EVIDENCE_TO_MAP</x:v>
      </x:c>
      <x:c r="E65" s="26" t="str">
        <x:v>Test justified nulls and controls for the claimed mechanism.</x:v>
      </x:c>
      <x:c r="F65" s="26" t="str">
        <x:v>Distinguishes timing edge from drift and chance.</x:v>
      </x:c>
      <x:c r="G65" s="26" t="str">
        <x:v>Predeclared mechanism-appropriate controls preserve irrelevant structure; positive/no-edge controls and finite-draw p-values are reproduced.</x:v>
      </x:c>
      <x:c r="H65" s="26" t="str">
        <x:v>Independent symbol shuffles cannot replace common dependence controls without justification.</x:v>
      </x:c>
      <x:c r="I65" s="26" t="str">
        <x:v>Prereqs: QNT-01</x:v>
      </x:c>
      <x:c r="J65" s="26" t="str">
        <x:v>Quant validation owner</x:v>
      </x:c>
      <x:c r="K65" s="26" t="str">
        <x:v>STAGE_LEVEL_HISTORY_ONLY</x:v>
      </x:c>
      <x:c r="L65" s="26" t="str">
        <x:v>NOT_MAPPED</x:v>
      </x:c>
      <x:c r="M65" s="26" t="str">
        <x:v>NOT_APPLICABLE</x:v>
      </x:c>
      <x:c r="N65" s="26" t="str">
        <x:v>Historical stage/package build claims exist; not yet mapped to this exact row. This is not a missing-implementation finding and does not reopen prior closures.</x:v>
      </x:c>
      <x:c r="O65" s="26" t="str">
        <x:v>Map existing exact evidence first; implement only a demonstrated gap, then satisfy this row's closure condition.</x:v>
      </x:c>
      <x:c r="P65" s="26" t="str">
        <x:v>S01, S02, S14 | §§11,13.5–13.7</x:v>
      </x:c>
      <x:c r="Q65" s="26" t="str">
        <x:v>https://github.com/sarmadkhan17/Luffy/blob/9385f792f32277bb0b826dba83247b8f5ccf1f8a/SDD.md</x:v>
      </x:c>
    </x:row>
    <x:row r="66" ht="92" customHeight="1">
      <x:c r="A66" s="30" t="str">
        <x:v>QNT-03</x:v>
      </x:c>
      <x:c r="B66" s="26" t="str">
        <x:v>Quant validation</x:v>
      </x:c>
      <x:c r="C66" s="26" t="str">
        <x:v>BASELINE</x:v>
      </x:c>
      <x:c r="D66" s="26" t="str">
        <x:v>EVIDENCE_TO_MAP</x:v>
      </x:c>
      <x:c r="E66" s="26" t="str">
        <x:v>Handle correlated symbols and shared evidence lineage.</x:v>
      </x:c>
      <x:c r="F66" s="26" t="str">
        <x:v>Prevents pseudo-replication and inflated sample/confidence.</x:v>
      </x:c>
      <x:c r="G66" s="26" t="str">
        <x:v>Dependence-aware controls or calibrated effective sample treatment match the hypothesis; contributor lineage is retained.</x:v>
      </x:c>
      <x:c r="H66" s="26" t="str">
        <x:v>Pooling correlated outcomes or variants does not create independent evidence.</x:v>
      </x:c>
      <x:c r="I66" s="26" t="str">
        <x:v>Prereqs: QNT-02, WRLD-07</x:v>
      </x:c>
      <x:c r="J66" s="26" t="str">
        <x:v>Quant validation owner</x:v>
      </x:c>
      <x:c r="K66" s="26" t="str">
        <x:v>STAGE_LEVEL_HISTORY_ONLY</x:v>
      </x:c>
      <x:c r="L66" s="26" t="str">
        <x:v>NOT_MAPPED</x:v>
      </x:c>
      <x:c r="M66" s="26" t="str">
        <x:v>NOT_APPLICABLE</x:v>
      </x:c>
      <x:c r="N66" s="26" t="str">
        <x:v>Historical stage/package build claims exist; not yet mapped to this exact row. This is not a missing-implementation finding and does not reopen prior closures.</x:v>
      </x:c>
      <x:c r="O66" s="26" t="str">
        <x:v>Map existing exact evidence first; implement only a demonstrated gap, then satisfy this row's closure condition.</x:v>
      </x:c>
      <x:c r="P66" s="26" t="str">
        <x:v>S01, S02, S14 | §§13.7,16.2</x:v>
      </x:c>
      <x:c r="Q66" s="26" t="str">
        <x:v>https://github.com/sarmadkhan17/Luffy/blob/9385f792f32277bb0b826dba83247b8f5ccf1f8a/SDD.md</x:v>
      </x:c>
    </x:row>
    <x:row r="67" ht="92" customHeight="1">
      <x:c r="A67" s="30" t="str">
        <x:v>QNT-04</x:v>
      </x:c>
      <x:c r="B67" s="26" t="str">
        <x:v>Quant validation</x:v>
      </x:c>
      <x:c r="C67" s="26" t="str">
        <x:v>BASELINE</x:v>
      </x:c>
      <x:c r="D67" s="26" t="str">
        <x:v>EVIDENCE_TO_MAP</x:v>
      </x:c>
      <x:c r="E67" s="26" t="str">
        <x:v>Separate discovery, held-out eras/markets and prospective proof.</x:v>
      </x:c>
      <x:c r="F67" s="26" t="str">
        <x:v>Protects against leakage through repeated research.</x:v>
      </x:c>
      <x:c r="G67" s="26" t="str">
        <x:v>All inspected data and overlapping label windows have recorded use; appropriate held-out/purged evaluation is reproducible.</x:v>
      </x:c>
      <x:c r="H67" s="26" t="str">
        <x:v>New run/reset/renamed candidate cannot restore an already-spent holdout.</x:v>
      </x:c>
      <x:c r="I67" s="26" t="str">
        <x:v>Prereqs: QNT-01</x:v>
      </x:c>
      <x:c r="J67" s="26" t="str">
        <x:v>Quant validation owner</x:v>
      </x:c>
      <x:c r="K67" s="26" t="str">
        <x:v>STAGE_LEVEL_HISTORY_ONLY</x:v>
      </x:c>
      <x:c r="L67" s="26" t="str">
        <x:v>NOT_MAPPED</x:v>
      </x:c>
      <x:c r="M67" s="26" t="str">
        <x:v>NOT_APPLICABLE</x:v>
      </x:c>
      <x:c r="N67" s="26" t="str">
        <x:v>Historical stage/package build claims exist; not yet mapped to this exact row. This is not a missing-implementation finding and does not reopen prior closures.</x:v>
      </x:c>
      <x:c r="O67" s="26" t="str">
        <x:v>Map existing exact evidence first; implement only a demonstrated gap, then satisfy this row's closure condition.</x:v>
      </x:c>
      <x:c r="P67" s="26" t="str">
        <x:v>S01, S02, S14 | §13.9</x:v>
      </x:c>
      <x:c r="Q67" s="26" t="str">
        <x:v>https://github.com/sarmadkhan17/Luffy/blob/9385f792f32277bb0b826dba83247b8f5ccf1f8a/SDD.md</x:v>
      </x:c>
    </x:row>
    <x:row r="68" ht="92" customHeight="1">
      <x:c r="A68" s="30" t="str">
        <x:v>QNT-05</x:v>
      </x:c>
      <x:c r="B68" s="26" t="str">
        <x:v>Quant validation</x:v>
      </x:c>
      <x:c r="C68" s="26" t="str">
        <x:v>BASELINE</x:v>
      </x:c>
      <x:c r="D68" s="26" t="str">
        <x:v>EVIDENCE_TO_MAP</x:v>
      </x:c>
      <x:c r="E68" s="26" t="str">
        <x:v>Enforce multiple-testing/error budgets calibrated by controls.</x:v>
      </x:c>
      <x:c r="F68" s="26" t="str">
        <x:v>Many candidate searches cannot each claim an untouched test.</x:v>
      </x:c>
      <x:c r="G68" s="26" t="str">
        <x:v>Registered admission rule and sequential/family budget are evidenced, retained and respected across retries/restarts.</x:v>
      </x:c>
      <x:c r="H68" s="26" t="str">
        <x:v>No arbitrary familiar alpha or reset error budget because a prior run failed.</x:v>
      </x:c>
      <x:c r="I68" s="26" t="str">
        <x:v>Prereqs: QNT-02, QNT-04</x:v>
      </x:c>
      <x:c r="J68" s="26" t="str">
        <x:v>Quant validation owner</x:v>
      </x:c>
      <x:c r="K68" s="26" t="str">
        <x:v>STAGE_LEVEL_HISTORY_ONLY</x:v>
      </x:c>
      <x:c r="L68" s="26" t="str">
        <x:v>NOT_MAPPED</x:v>
      </x:c>
      <x:c r="M68" s="26" t="str">
        <x:v>NOT_APPLICABLE</x:v>
      </x:c>
      <x:c r="N68" s="26" t="str">
        <x:v>Historical stage/package build claims exist; not yet mapped to this exact row. This is not a missing-implementation finding and does not reopen prior closures.</x:v>
      </x:c>
      <x:c r="O68" s="26" t="str">
        <x:v>Map existing exact evidence first; implement only a demonstrated gap, then satisfy this row's closure condition.</x:v>
      </x:c>
      <x:c r="P68" s="26" t="str">
        <x:v>S01, S02, S14 | §13.8</x:v>
      </x:c>
      <x:c r="Q68" s="26" t="str">
        <x:v>https://github.com/sarmadkhan17/Luffy/blob/9385f792f32277bb0b826dba83247b8f5ccf1f8a/SDD.md</x:v>
      </x:c>
    </x:row>
    <x:row r="69" ht="92" customHeight="1">
      <x:c r="A69" s="30" t="str">
        <x:v>QNT-06</x:v>
      </x:c>
      <x:c r="B69" s="26" t="str">
        <x:v>Quant validation</x:v>
      </x:c>
      <x:c r="C69" s="26" t="str">
        <x:v>BASELINE</x:v>
      </x:c>
      <x:c r="D69" s="26" t="str">
        <x:v>EVIDENCE_TO_MAP</x:v>
      </x:c>
      <x:c r="E69" s="26" t="str">
        <x:v>Keep underpowered UNTESTED distinct from FAIL and PASS.</x:v>
      </x:c>
      <x:c r="F69" s="26" t="str">
        <x:v>Insufficient evidence is not no-edge or success.</x:v>
      </x:c>
      <x:c r="G69" s="26" t="str">
        <x:v>Controls demonstrate the power required by the declared experiment; insufficient cases return UNTESTED with reasons.</x:v>
      </x:c>
      <x:c r="H69" s="26" t="str">
        <x:v>No coercion of null/empty sample to failed or admitted.</x:v>
      </x:c>
      <x:c r="I69" s="26" t="str">
        <x:v>Prereqs: QNT-02</x:v>
      </x:c>
      <x:c r="J69" s="26" t="str">
        <x:v>Quant validation owner</x:v>
      </x:c>
      <x:c r="K69" s="26" t="str">
        <x:v>STAGE_LEVEL_HISTORY_ONLY</x:v>
      </x:c>
      <x:c r="L69" s="26" t="str">
        <x:v>NOT_MAPPED</x:v>
      </x:c>
      <x:c r="M69" s="26" t="str">
        <x:v>NOT_APPLICABLE</x:v>
      </x:c>
      <x:c r="N69" s="26" t="str">
        <x:v>Historical stage/package build claims exist; not yet mapped to this exact row. This is not a missing-implementation finding and does not reopen prior closures.</x:v>
      </x:c>
      <x:c r="O69" s="26" t="str">
        <x:v>Map existing exact evidence first; implement only a demonstrated gap, then satisfy this row's closure condition.</x:v>
      </x:c>
      <x:c r="P69" s="26" t="str">
        <x:v>S01, S02, S14 | §13.11</x:v>
      </x:c>
      <x:c r="Q69" s="26" t="str">
        <x:v>https://github.com/sarmadkhan17/Luffy/blob/9385f792f32277bb0b826dba83247b8f5ccf1f8a/SDD.md</x:v>
      </x:c>
    </x:row>
    <x:row r="70" ht="92" customHeight="1">
      <x:c r="A70" s="30" t="str">
        <x:v>QNT-07</x:v>
      </x:c>
      <x:c r="B70" s="26" t="str">
        <x:v>Quant validation</x:v>
      </x:c>
      <x:c r="C70" s="26" t="str">
        <x:v>BASELINE</x:v>
      </x:c>
      <x:c r="D70" s="26" t="str">
        <x:v>EVIDENCE_TO_MAP</x:v>
      </x:c>
      <x:c r="E70" s="26" t="str">
        <x:v>Test incremental value with ablation and sensitivity.</x:v>
      </x:c>
      <x:c r="F70" s="26" t="str">
        <x:v>Added complexity must improve the relevant economics.</x:v>
      </x:c>
      <x:c r="G70" s="26" t="str">
        <x:v>Baseline/filter/component, parameter neighborhood, costs/universe/regime changes are compared where relevant under a frozen protocol.</x:v>
      </x:c>
      <x:c r="H70" s="26" t="str">
        <x:v>PF improvement alone cannot hide reduced compounded account contribution.</x:v>
      </x:c>
      <x:c r="I70" s="26" t="str">
        <x:v>Prereqs: QNT-01, QNT-04</x:v>
      </x:c>
      <x:c r="J70" s="26" t="str">
        <x:v>Quant validation owner</x:v>
      </x:c>
      <x:c r="K70" s="26" t="str">
        <x:v>STAGE_LEVEL_HISTORY_ONLY</x:v>
      </x:c>
      <x:c r="L70" s="26" t="str">
        <x:v>NOT_MAPPED</x:v>
      </x:c>
      <x:c r="M70" s="26" t="str">
        <x:v>NOT_APPLICABLE</x:v>
      </x:c>
      <x:c r="N70" s="26" t="str">
        <x:v>Historical stage/package build claims exist; not yet mapped to this exact row. This is not a missing-implementation finding and does not reopen prior closures.</x:v>
      </x:c>
      <x:c r="O70" s="26" t="str">
        <x:v>Map existing exact evidence first; implement only a demonstrated gap, then satisfy this row's closure condition.</x:v>
      </x:c>
      <x:c r="P70" s="26" t="str">
        <x:v>S01, S02, S14 | §13.10</x:v>
      </x:c>
      <x:c r="Q70" s="26" t="str">
        <x:v>https://github.com/sarmadkhan17/Luffy/blob/9385f792f32277bb0b826dba83247b8f5ccf1f8a/SDD.md</x:v>
      </x:c>
    </x:row>
    <x:row r="71" ht="92" customHeight="1">
      <x:c r="A71" s="30" t="str">
        <x:v>QNT-08</x:v>
      </x:c>
      <x:c r="B71" s="26" t="str">
        <x:v>Quant validation</x:v>
      </x:c>
      <x:c r="C71" s="26" t="str">
        <x:v>BASELINE</x:v>
      </x:c>
      <x:c r="D71" s="26" t="str">
        <x:v>EVIDENCE_TO_MAP</x:v>
      </x:c>
      <x:c r="E71" s="26" t="str">
        <x:v>Keep Referee admission distinct from execution/owner approval.</x:v>
      </x:c>
      <x:c r="F71" s="26" t="str">
        <x:v>Statistical support is not permission to place orders.</x:v>
      </x:c>
      <x:c r="G71" s="26" t="str">
        <x:v>Only actual registered quantitative evidence yields an admitted candidate; Builder/Governor/owner gates remain downstream.</x:v>
      </x:c>
      <x:c r="H71" s="26" t="str">
        <x:v>No research/LLM bypass or fake candidate admission; parked Scheme-D work remains unauthorized.</x:v>
      </x:c>
      <x:c r="I71" s="26" t="str">
        <x:v>Prereqs: QNT-03, QNT-05, QNT-06</x:v>
      </x:c>
      <x:c r="J71" s="26" t="str">
        <x:v>Quant validation owner</x:v>
      </x:c>
      <x:c r="K71" s="26" t="str">
        <x:v>STAGE_LEVEL_HISTORY_ONLY</x:v>
      </x:c>
      <x:c r="L71" s="26" t="str">
        <x:v>NOT_MAPPED</x:v>
      </x:c>
      <x:c r="M71" s="26" t="str">
        <x:v>NOT_APPLICABLE</x:v>
      </x:c>
      <x:c r="N71" s="26" t="str">
        <x:v>Historical stage/package build claims exist; not yet mapped to this exact row. This is not a missing-implementation finding and does not reopen prior closures.</x:v>
      </x:c>
      <x:c r="O71" s="26" t="str">
        <x:v>Map existing exact evidence first; implement only a demonstrated gap, then satisfy this row's closure condition.</x:v>
      </x:c>
      <x:c r="P71" s="26" t="str">
        <x:v>S01, S02, S14 | §§14.2,30 Stage 4,33.4</x:v>
      </x:c>
      <x:c r="Q71" s="26" t="str">
        <x:v>https://github.com/sarmadkhan17/Luffy/blob/9385f792f32277bb0b826dba83247b8f5ccf1f8a/SDD.md</x:v>
      </x:c>
    </x:row>
    <x:row r="72" ht="92" customHeight="1">
      <x:c r="A72" s="30" t="str">
        <x:v>STR-01</x:v>
      </x:c>
      <x:c r="B72" s="26" t="str">
        <x:v>Strategies &amp; decisions</x:v>
      </x:c>
      <x:c r="C72" s="26" t="str">
        <x:v>BASELINE</x:v>
      </x:c>
      <x:c r="D72" s="26" t="str">
        <x:v>EVIDENCE_TO_MAP</x:v>
      </x:c>
      <x:c r="E72" s="26" t="str">
        <x:v>Create one immutable typed StrategySpec/StrategyVersion lineage.</x:v>
      </x:c>
      <x:c r="F72" s="26" t="str">
        <x:v>Prevents silent strategy mutation and competing creation authorities.</x:v>
      </x:c>
      <x:c r="G72" s="26" t="str">
        <x:v>Spec includes lineage/research references, universe/horizon, entry/exit/risk/data/world requirements and hashes; material change creates a new version.</x:v>
      </x:c>
      <x:c r="H72" s="26" t="str">
        <x:v>Scraper/legacy/LLM/UI cannot inject an unvalidated live version.</x:v>
      </x:c>
      <x:c r="I72" s="26" t="str">
        <x:v>Prereqs: RES-08, QNT-08</x:v>
      </x:c>
      <x:c r="J72" s="26" t="str">
        <x:v>Strategies &amp; decisions owner</x:v>
      </x:c>
      <x:c r="K72" s="26" t="str">
        <x:v>STAGE_LEVEL_HISTORY_ONLY</x:v>
      </x:c>
      <x:c r="L72" s="26" t="str">
        <x:v>NOT_MAPPED</x:v>
      </x:c>
      <x:c r="M72" s="26" t="str">
        <x:v>NOT_APPLICABLE</x:v>
      </x:c>
      <x:c r="N72" s="26" t="str">
        <x:v>Historical stage/package build claims exist; not yet mapped to this exact row. This is not a missing-implementation finding and does not reopen prior closures.</x:v>
      </x:c>
      <x:c r="O72" s="26" t="str">
        <x:v>Map existing exact evidence first; implement only a demonstrated gap, then satisfy this row's closure condition.</x:v>
      </x:c>
      <x:c r="P72" s="26" t="str">
        <x:v>S01, S02, S12, S14 | §14.1–14.2</x:v>
      </x:c>
      <x:c r="Q72" s="26" t="str">
        <x:v>https://github.com/sarmadkhan17/Luffy/blob/9385f792f32277bb0b826dba83247b8f5ccf1f8a/SDD.md</x:v>
      </x:c>
    </x:row>
    <x:row r="73" ht="92" customHeight="1">
      <x:c r="A73" s="30" t="str">
        <x:v>STR-02</x:v>
      </x:c>
      <x:c r="B73" s="26" t="str">
        <x:v>Strategies &amp; decisions</x:v>
      </x:c>
      <x:c r="C73" s="26" t="str">
        <x:v>BASELINE</x:v>
      </x:c>
      <x:c r="D73" s="26" t="str">
        <x:v>EVIDENCE_TO_MAP</x:v>
      </x:c>
      <x:c r="E73" s="26" t="str">
        <x:v>Compile exact strategy logic with current/historical feature parity.</x:v>
      </x:c>
      <x:c r="F73" s="26" t="str">
        <x:v>A valid spec must be evaluated, not silently skipped.</x:v>
      </x:c>
      <x:c r="G73" s="26" t="str">
        <x:v>Compiler executes declared data/world dependencies and scope with reproducible parity and explicit unsupported/missing errors.</x:v>
      </x:c>
      <x:c r="H73" s="26" t="str">
        <x:v>Read-only array/quality filters, required frame absence and version mismatch do not bypass or silently corrupt evaluation.</x:v>
      </x:c>
      <x:c r="I73" s="26" t="str">
        <x:v>Prereqs: STR-01, WRLD-05</x:v>
      </x:c>
      <x:c r="J73" s="26" t="str">
        <x:v>Strategies &amp; decisions owner</x:v>
      </x:c>
      <x:c r="K73" s="26" t="str">
        <x:v>STAGE_LEVEL_HISTORY_ONLY</x:v>
      </x:c>
      <x:c r="L73" s="26" t="str">
        <x:v>NOT_MAPPED</x:v>
      </x:c>
      <x:c r="M73" s="26" t="str">
        <x:v>NOT_APPLICABLE</x:v>
      </x:c>
      <x:c r="N73" s="26" t="str">
        <x:v>Historical stage/package build claims exist; not yet mapped to this exact row. This is not a missing-implementation finding and does not reopen prior closures.</x:v>
      </x:c>
      <x:c r="O73" s="26" t="str">
        <x:v>Map existing exact evidence first; implement only a demonstrated gap, then satisfy this row's closure condition.</x:v>
      </x:c>
      <x:c r="P73" s="26" t="str">
        <x:v>S01, S02, S12, S14 | §§14.1,14.4,28.4</x:v>
      </x:c>
      <x:c r="Q73" s="26" t="str">
        <x:v>https://github.com/sarmadkhan17/Luffy/blob/9385f792f32277bb0b826dba83247b8f5ccf1f8a/SDD.md</x:v>
      </x:c>
    </x:row>
    <x:row r="74" ht="92" customHeight="1">
      <x:c r="A74" s="30" t="str">
        <x:v>STR-03</x:v>
      </x:c>
      <x:c r="B74" s="26" t="str">
        <x:v>Strategies &amp; decisions</x:v>
      </x:c>
      <x:c r="C74" s="26" t="str">
        <x:v>BASELINE</x:v>
      </x:c>
      <x:c r="D74" s="26" t="str">
        <x:v>EVIDENCE_TO_MAP</x:v>
      </x:c>
      <x:c r="E74" s="26" t="str">
        <x:v>Bind first real-money approval to exact version and evidence.</x:v>
      </x:c>
      <x:c r="F74" s="26" t="str">
        <x:v>Owner approval is narrow and must become stale after material changes.</x:v>
      </x:c>
      <x:c r="G74" s="26" t="str">
        <x:v>Research→validation→probation→approval→Governor path loads exact approved artifact; approval refuses mismatch/stale context.</x:v>
      </x:c>
      <x:c r="H74" s="26" t="str">
        <x:v>ACTIVE label or grandfather/legacy path cannot replace missing authority.</x:v>
      </x:c>
      <x:c r="I74" s="26" t="str">
        <x:v>Prereqs: STR-01, QNT-08, OWN-02</x:v>
      </x:c>
      <x:c r="J74" s="26" t="str">
        <x:v>Strategies &amp; decisions owner</x:v>
      </x:c>
      <x:c r="K74" s="26" t="str">
        <x:v>STAGE_LEVEL_HISTORY_ONLY</x:v>
      </x:c>
      <x:c r="L74" s="26" t="str">
        <x:v>NOT_MAPPED</x:v>
      </x:c>
      <x:c r="M74" s="26" t="str">
        <x:v>NOT_APPLICABLE</x:v>
      </x:c>
      <x:c r="N74" s="26" t="str">
        <x:v>Historical stage/package build claims exist; not yet mapped to this exact row. This is not a missing-implementation finding and does not reopen prior closures.</x:v>
      </x:c>
      <x:c r="O74" s="26" t="str">
        <x:v>Map existing exact evidence first; implement only a demonstrated gap, then satisfy this row's closure condition.</x:v>
      </x:c>
      <x:c r="P74" s="26" t="str">
        <x:v>S01, S02, S12, S14 | §§2.4,14.2,25.4</x:v>
      </x:c>
      <x:c r="Q74" s="26" t="str">
        <x:v>https://github.com/sarmadkhan17/Luffy/blob/9385f792f32277bb0b826dba83247b8f5ccf1f8a/SDD.md</x:v>
      </x:c>
    </x:row>
    <x:row r="75" ht="92" customHeight="1">
      <x:c r="A75" s="30" t="str">
        <x:v>STR-04</x:v>
      </x:c>
      <x:c r="B75" s="26" t="str">
        <x:v>Strategies &amp; decisions</x:v>
      </x:c>
      <x:c r="C75" s="26" t="str">
        <x:v>BASELINE</x:v>
      </x:c>
      <x:c r="D75" s="26" t="str">
        <x:v>EVIDENCE_TO_MAP</x:v>
      </x:c>
      <x:c r="E75" s="26" t="str">
        <x:v>Use Strategy Governor as sole lifecycle authority.</x:v>
      </x:c>
      <x:c r="F75" s="26" t="str">
        <x:v>Maintains controlled pause, reactivation, degradation and retirement.</x:v>
      </x:c>
      <x:c r="G75" s="26" t="str">
        <x:v>Existing approved version lifecycle changes are bounded, atomic, idempotent and linked to evidence/owner limits.</x:v>
      </x:c>
      <x:c r="H75" s="26" t="str">
        <x:v>No separate legacy writer bypass; no spec rewrite or first-live approval bypass.</x:v>
      </x:c>
      <x:c r="I75" s="26" t="str">
        <x:v>Prereqs: STR-03</x:v>
      </x:c>
      <x:c r="J75" s="26" t="str">
        <x:v>Strategies &amp; decisions owner</x:v>
      </x:c>
      <x:c r="K75" s="26" t="str">
        <x:v>STAGE_LEVEL_HISTORY_ONLY</x:v>
      </x:c>
      <x:c r="L75" s="26" t="str">
        <x:v>NOT_MAPPED</x:v>
      </x:c>
      <x:c r="M75" s="26" t="str">
        <x:v>NOT_APPLICABLE</x:v>
      </x:c>
      <x:c r="N75" s="26" t="str">
        <x:v>Historical stage/package build claims exist; not yet mapped to this exact row. This is not a missing-implementation finding and does not reopen prior closures.</x:v>
      </x:c>
      <x:c r="O75" s="26" t="str">
        <x:v>Map existing exact evidence first; implement only a demonstrated gap, then satisfy this row's closure condition.</x:v>
      </x:c>
      <x:c r="P75" s="26" t="str">
        <x:v>S01, S02, S12, S14 | §14.5–14.6</x:v>
      </x:c>
      <x:c r="Q75" s="26" t="str">
        <x:v>https://github.com/sarmadkhan17/Luffy/blob/9385f792f32277bb0b826dba83247b8f5ccf1f8a/SDD.md</x:v>
      </x:c>
    </x:row>
    <x:row r="76" ht="92" customHeight="1">
      <x:c r="A76" s="30" t="str">
        <x:v>STR-05</x:v>
      </x:c>
      <x:c r="B76" s="26" t="str">
        <x:v>Strategies &amp; decisions</x:v>
      </x:c>
      <x:c r="C76" s="26" t="str">
        <x:v>BASELINE</x:v>
      </x:c>
      <x:c r="D76" s="26" t="str">
        <x:v>EVIDENCE_TO_MAP</x:v>
      </x:c>
      <x:c r="E76" s="26" t="str">
        <x:v>Distinguish decay from no opportunity, regime absence and data failure.</x:v>
      </x:c>
      <x:c r="F76" s="26" t="str">
        <x:v>Prevents retiring or reallocating for the wrong reason.</x:v>
      </x:c>
      <x:c r="G76" s="26" t="str">
        <x:v>Decay evidence identifies the correct cause and registered action; recent-decay reaches Governor and future eligibility.</x:v>
      </x:c>
      <x:c r="H76" s="26" t="str">
        <x:v>No single loss/no trade/data outage becomes uncalibrated retirement or confidence change.</x:v>
      </x:c>
      <x:c r="I76" s="26" t="str">
        <x:v>Prereqs: STR-04, LRN-02</x:v>
      </x:c>
      <x:c r="J76" s="26" t="str">
        <x:v>Strategies &amp; decisions owner</x:v>
      </x:c>
      <x:c r="K76" s="26" t="str">
        <x:v>STAGE_LEVEL_HISTORY_ONLY</x:v>
      </x:c>
      <x:c r="L76" s="26" t="str">
        <x:v>NOT_MAPPED</x:v>
      </x:c>
      <x:c r="M76" s="26" t="str">
        <x:v>NOT_APPLICABLE</x:v>
      </x:c>
      <x:c r="N76" s="26" t="str">
        <x:v>Historical stage/package build claims exist; not yet mapped to this exact row. This is not a missing-implementation finding and does not reopen prior closures.</x:v>
      </x:c>
      <x:c r="O76" s="26" t="str">
        <x:v>Map existing exact evidence first; implement only a demonstrated gap, then satisfy this row's closure condition.</x:v>
      </x:c>
      <x:c r="P76" s="26" t="str">
        <x:v>S01, S02, S12, S14 | §14.5</x:v>
      </x:c>
      <x:c r="Q76" s="26" t="str">
        <x:v>https://github.com/sarmadkhan17/Luffy/blob/9385f792f32277bb0b826dba83247b8f5ccf1f8a/SDD.md</x:v>
      </x:c>
    </x:row>
    <x:row r="77" ht="92" customHeight="1">
      <x:c r="A77" s="30" t="str">
        <x:v>DEC-01</x:v>
      </x:c>
      <x:c r="B77" s="26" t="str">
        <x:v>Strategies &amp; decisions</x:v>
      </x:c>
      <x:c r="C77" s="26" t="str">
        <x:v>BASELINE</x:v>
      </x:c>
      <x:c r="D77" s="26" t="str">
        <x:v>EVIDENCE_TO_MAP</x:v>
      </x:c>
      <x:c r="E77" s="26" t="str">
        <x:v>Freeze one coherent Opportunity Context per candidate/decision.</x:v>
      </x:c>
      <x:c r="F77" s="26" t="str">
        <x:v>Avoids mixing source cuts and required/optional evidence.</x:v>
      </x:c>
      <x:c r="G77" s="26" t="str">
        <x:v>Normal source path binds canonical identity, exact spec, required/optional analysts, clocks, costs, book and supporting/opposing evidence.</x:v>
      </x:c>
      <x:c r="H77" s="26" t="str">
        <x:v>Missing required input blocks; optional absent input does not block by default; mixed cuts refuse.</x:v>
      </x:c>
      <x:c r="I77" s="26" t="str">
        <x:v>Prereqs: STR-02, WRLD-05, DATA-05</x:v>
      </x:c>
      <x:c r="J77" s="26" t="str">
        <x:v>Strategies &amp; decisions owner</x:v>
      </x:c>
      <x:c r="K77" s="26" t="str">
        <x:v>STAGE_LEVEL_HISTORY_ONLY</x:v>
      </x:c>
      <x:c r="L77" s="26" t="str">
        <x:v>NOT_MAPPED</x:v>
      </x:c>
      <x:c r="M77" s="26" t="str">
        <x:v>NOT_APPLICABLE</x:v>
      </x:c>
      <x:c r="N77" s="26" t="str">
        <x:v>Historical stage/package build claims exist; not yet mapped to this exact row. This is not a missing-implementation finding and does not reopen prior closures.</x:v>
      </x:c>
      <x:c r="O77" s="26" t="str">
        <x:v>Map existing exact evidence first; implement only a demonstrated gap, then satisfy this row's closure condition.</x:v>
      </x:c>
      <x:c r="P77" s="26" t="str">
        <x:v>S01, S02, S12, S14 | §15</x:v>
      </x:c>
      <x:c r="Q77" s="26" t="str">
        <x:v>https://github.com/sarmadkhan17/Luffy/blob/9385f792f32277bb0b826dba83247b8f5ccf1f8a/SDD.md</x:v>
      </x:c>
    </x:row>
    <x:row r="78" ht="92" customHeight="1">
      <x:c r="A78" s="30" t="str">
        <x:v>DEC-02</x:v>
      </x:c>
      <x:c r="B78" s="26" t="str">
        <x:v>Strategies &amp; decisions</x:v>
      </x:c>
      <x:c r="C78" s="26" t="str">
        <x:v>BASELINE</x:v>
      </x:c>
      <x:c r="D78" s="26" t="str">
        <x:v>EVIDENCE_TO_MAP</x:v>
      </x:c>
      <x:c r="E78" s="26" t="str">
        <x:v>Make deterministic candidate comparison, with explicit CASH and reasons.</x:v>
      </x:c>
      <x:c r="F78" s="26" t="str">
        <x:v>The orchestrator is not an opaque LLM or majority vote.</x:v>
      </x:c>
      <x:c r="G78" s="26" t="str">
        <x:v>Given eligible candidates/context, deterministic comparison emits proposal/rejection and visible confidence components; no opportunity can beat cash without sufficient economics.</x:v>
      </x:c>
      <x:c r="H78" s="26" t="str">
        <x:v>No forced trades, simple vote-count authority or unexplained composite confidence.</x:v>
      </x:c>
      <x:c r="I78" s="26" t="str">
        <x:v>Prereqs: DEC-01, PORT-02</x:v>
      </x:c>
      <x:c r="J78" s="26" t="str">
        <x:v>Strategies &amp; decisions owner</x:v>
      </x:c>
      <x:c r="K78" s="26" t="str">
        <x:v>STAGE_LEVEL_HISTORY_ONLY</x:v>
      </x:c>
      <x:c r="L78" s="26" t="str">
        <x:v>NOT_MAPPED</x:v>
      </x:c>
      <x:c r="M78" s="26" t="str">
        <x:v>NOT_APPLICABLE</x:v>
      </x:c>
      <x:c r="N78" s="26" t="str">
        <x:v>Historical stage/package build claims exist; not yet mapped to this exact row. This is not a missing-implementation finding and does not reopen prior closures.</x:v>
      </x:c>
      <x:c r="O78" s="26" t="str">
        <x:v>Map existing exact evidence first; implement only a demonstrated gap, then satisfy this row's closure condition.</x:v>
      </x:c>
      <x:c r="P78" s="26" t="str">
        <x:v>S01, S02, S12, S14 | §§15.1–15.6</x:v>
      </x:c>
      <x:c r="Q78" s="26" t="str">
        <x:v>https://github.com/sarmadkhan17/Luffy/blob/9385f792f32277bb0b826dba83247b8f5ccf1f8a/SDD.md</x:v>
      </x:c>
    </x:row>
    <x:row r="79" ht="92" customHeight="1">
      <x:c r="A79" s="30" t="str">
        <x:v>DEC-03</x:v>
      </x:c>
      <x:c r="B79" s="26" t="str">
        <x:v>Strategies &amp; decisions</x:v>
      </x:c>
      <x:c r="C79" s="26" t="str">
        <x:v>BASELINE</x:v>
      </x:c>
      <x:c r="D79" s="26" t="str">
        <x:v>EVIDENCE_TO_MAP</x:v>
      </x:c>
      <x:c r="E79" s="26" t="str">
        <x:v>Represent one account position per instrument and preserve conflicting strategies.</x:v>
      </x:c>
      <x:c r="F79" s="26" t="str">
        <x:v>Avoids accidental stacked exposure and duplicated confidence.</x:v>
      </x:c>
      <x:c r="G79" s="26" t="str">
        <x:v>Agreeing strategies support one position/approved exit plan; opposing evidence is retained; strategy lineage does not multiply independence.</x:v>
      </x:c>
      <x:c r="H79" s="26" t="str">
        <x:v>Changing analyst confidence cannot continuously resize/rewrite the live plan.</x:v>
      </x:c>
      <x:c r="I79" s="26" t="str">
        <x:v>Prereqs: DEC-02, STR-04</x:v>
      </x:c>
      <x:c r="J79" s="26" t="str">
        <x:v>Strategies &amp; decisions owner</x:v>
      </x:c>
      <x:c r="K79" s="26" t="str">
        <x:v>STAGE_LEVEL_HISTORY_ONLY</x:v>
      </x:c>
      <x:c r="L79" s="26" t="str">
        <x:v>NOT_MAPPED</x:v>
      </x:c>
      <x:c r="M79" s="26" t="str">
        <x:v>NOT_APPLICABLE</x:v>
      </x:c>
      <x:c r="N79" s="26" t="str">
        <x:v>Historical stage/package build claims exist; not yet mapped to this exact row. This is not a missing-implementation finding and does not reopen prior closures.</x:v>
      </x:c>
      <x:c r="O79" s="26" t="str">
        <x:v>Map existing exact evidence first; implement only a demonstrated gap, then satisfy this row's closure condition.</x:v>
      </x:c>
      <x:c r="P79" s="26" t="str">
        <x:v>S01, S02, S12, S14 | §§14.6,15.3</x:v>
      </x:c>
      <x:c r="Q79" s="26" t="str">
        <x:v>https://github.com/sarmadkhan17/Luffy/blob/9385f792f32277bb0b826dba83247b8f5ccf1f8a/SDD.md</x:v>
      </x:c>
    </x:row>
    <x:row r="80" ht="92" customHeight="1">
      <x:c r="A80" s="30" t="str">
        <x:v>DEC-04</x:v>
      </x:c>
      <x:c r="B80" s="26" t="str">
        <x:v>Strategies &amp; decisions</x:v>
      </x:c>
      <x:c r="C80" s="26" t="str">
        <x:v>BASELINE</x:v>
      </x:c>
      <x:c r="D80" s="26" t="str">
        <x:v>EVIDENCE_TO_MAP</x:v>
      </x:c>
      <x:c r="E80" s="26" t="str">
        <x:v>Track evolving opportunities by reference to canonical lineage.</x:v>
      </x:c>
      <x:c r="F80" s="26" t="str">
        <x:v>Groups repeated cycles without creating another truth system.</x:v>
      </x:c>
      <x:c r="G80" s="26" t="str">
        <x:v>Opportunity lifecycle links opened/expired/invalidated/traded/skipped state to existing cycle/decision/investigation evidence.</x:v>
      </x:c>
      <x:c r="H80" s="26" t="str">
        <x:v>Duplicate opportunity observations cannot create duplicate orders or reconstructed causality.</x:v>
      </x:c>
      <x:c r="I80" s="26" t="str">
        <x:v>Prereqs: DEC-01</x:v>
      </x:c>
      <x:c r="J80" s="26" t="str">
        <x:v>Strategies &amp; decisions owner</x:v>
      </x:c>
      <x:c r="K80" s="26" t="str">
        <x:v>STAGE_LEVEL_HISTORY_ONLY</x:v>
      </x:c>
      <x:c r="L80" s="26" t="str">
        <x:v>NOT_MAPPED</x:v>
      </x:c>
      <x:c r="M80" s="26" t="str">
        <x:v>NOT_APPLICABLE</x:v>
      </x:c>
      <x:c r="N80" s="26" t="str">
        <x:v>Historical stage/package build claims exist; not yet mapped to this exact row. This is not a missing-implementation finding and does not reopen prior closures.</x:v>
      </x:c>
      <x:c r="O80" s="26" t="str">
        <x:v>Map existing exact evidence first; implement only a demonstrated gap, then satisfy this row's closure condition.</x:v>
      </x:c>
      <x:c r="P80" s="26" t="str">
        <x:v>S01, S02, S12, S14 | §15.7</x:v>
      </x:c>
      <x:c r="Q80" s="26" t="str">
        <x:v>https://github.com/sarmadkhan17/Luffy/blob/9385f792f32277bb0b826dba83247b8f5ccf1f8a/SDD.md</x:v>
      </x:c>
    </x:row>
    <x:row r="81" ht="92" customHeight="1">
      <x:c r="A81" s="30" t="str">
        <x:v>PORT-01</x:v>
      </x:c>
      <x:c r="B81" s="26" t="str">
        <x:v>Portfolio</x:v>
      </x:c>
      <x:c r="C81" s="26" t="str">
        <x:v>BASELINE</x:v>
      </x:c>
      <x:c r="D81" s="26" t="str">
        <x:v>EVIDENCE_TO_MAP</x:v>
      </x:c>
      <x:c r="E81" s="26" t="str">
        <x:v>Compare opportunities against the whole book, cash and account constraints.</x:v>
      </x:c>
      <x:c r="F81" s="26" t="str">
        <x:v>Avoids trading each isolated signal independently.</x:v>
      </x:c>
      <x:c r="G81" s="26" t="str">
        <x:v>Normal Portfolio path compares current holdings and eligible candidates using exact account/book/capability cuts, then emits proposal-only TradeIntents.</x:v>
      </x:c>
      <x:c r="H81" s="26" t="str">
        <x:v>No direct venue call or bypass of final Risk.</x:v>
      </x:c>
      <x:c r="I81" s="26" t="str">
        <x:v>Prereqs: DEC-01, DATA-01</x:v>
      </x:c>
      <x:c r="J81" s="26" t="str">
        <x:v>Portfolio owner</x:v>
      </x:c>
      <x:c r="K81" s="26" t="str">
        <x:v>STAGE_LEVEL_HISTORY_ONLY</x:v>
      </x:c>
      <x:c r="L81" s="26" t="str">
        <x:v>NOT_MAPPED</x:v>
      </x:c>
      <x:c r="M81" s="26" t="str">
        <x:v>NOT_APPLICABLE</x:v>
      </x:c>
      <x:c r="N81" s="26" t="str">
        <x:v>Historical stage/package build claims exist; not yet mapped to this exact row. This is not a missing-implementation finding and does not reopen prior closures.</x:v>
      </x:c>
      <x:c r="O81" s="26" t="str">
        <x:v>Map existing exact evidence first; implement only a demonstrated gap, then satisfy this row's closure condition.</x:v>
      </x:c>
      <x:c r="P81" s="26" t="str">
        <x:v>S01, S02, S12, S14 | §§16,35.5</x:v>
      </x:c>
      <x:c r="Q81" s="26" t="str">
        <x:v>https://github.com/sarmadkhan17/Luffy/blob/9385f792f32277bb0b826dba83247b8f5ccf1f8a/SDD.md</x:v>
      </x:c>
    </x:row>
    <x:row r="82" ht="92" customHeight="1">
      <x:c r="A82" s="30" t="str">
        <x:v>PORT-02</x:v>
      </x:c>
      <x:c r="B82" s="26" t="str">
        <x:v>Portfolio</x:v>
      </x:c>
      <x:c r="C82" s="26" t="str">
        <x:v>BASELINE</x:v>
      </x:c>
      <x:c r="D82" s="26" t="str">
        <x:v>EVIDENCE_TO_MAP</x:v>
      </x:c>
      <x:c r="E82" s="26" t="str">
        <x:v>Require calibrated expected net economics rather than invented defaults.</x:v>
      </x:c>
      <x:c r="F82" s="26" t="str">
        <x:v>Costs and uncertainty can remove apparent edge.</x:v>
      </x:c>
      <x:c r="G82" s="26" t="str">
        <x:v>Gross, fees, slippage, funding/borrow and reserve sources bind correct units/horizon/quantity/context; missing authority is UNAVAILABLE.</x:v>
      </x:c>
      <x:c r="H82" s="26" t="str">
        <x:v>Unknown cost/capacity is not zero; unregistered gross/reserve models cannot authorize.</x:v>
      </x:c>
      <x:c r="I82" s="26" t="str">
        <x:v>Prereqs: QNT-01, DEC-01</x:v>
      </x:c>
      <x:c r="J82" s="26" t="str">
        <x:v>Portfolio owner</x:v>
      </x:c>
      <x:c r="K82" s="26" t="str">
        <x:v>STAGE_LEVEL_HISTORY_ONLY</x:v>
      </x:c>
      <x:c r="L82" s="26" t="str">
        <x:v>NOT_MAPPED</x:v>
      </x:c>
      <x:c r="M82" s="26" t="str">
        <x:v>NOT_APPLICABLE</x:v>
      </x:c>
      <x:c r="N82" s="26" t="str">
        <x:v>Historical stage/package build claims exist; not yet mapped to this exact row. This is not a missing-implementation finding and does not reopen prior closures.</x:v>
      </x:c>
      <x:c r="O82" s="26" t="str">
        <x:v>Map existing exact evidence first; implement only a demonstrated gap, then satisfy this row's closure condition.</x:v>
      </x:c>
      <x:c r="P82" s="26" t="str">
        <x:v>S01, S02, S12, S14 | §15.1</x:v>
      </x:c>
      <x:c r="Q82" s="26" t="str">
        <x:v>https://github.com/sarmadkhan17/Luffy/blob/9385f792f32277bb0b826dba83247b8f5ccf1f8a/SDD.md</x:v>
      </x:c>
    </x:row>
    <x:row r="83" ht="92" customHeight="1">
      <x:c r="A83" s="30" t="str">
        <x:v>PORT-03</x:v>
      </x:c>
      <x:c r="B83" s="26" t="str">
        <x:v>Portfolio</x:v>
      </x:c>
      <x:c r="C83" s="26" t="str">
        <x:v>BASELINE</x:v>
      </x:c>
      <x:c r="D83" s="26" t="str">
        <x:v>EVIDENCE_TO_MAP</x:v>
      </x:c>
      <x:c r="E83" s="26" t="str">
        <x:v>Expose confidence components and contextual reliability.</x:v>
      </x:c>
      <x:c r="F83" s="26" t="str">
        <x:v>A single opaque score hides data/execution uncertainty.</x:v>
      </x:c>
      <x:c r="G83" s="26" t="str">
        <x:v>Evidence strength, data quality, strategy reliability, regime fit and execution confidence remain inspectable and replayable.</x:v>
      </x:c>
      <x:c r="H83" s="26" t="str">
        <x:v>No uncalibrated confidence update from one win/loss or irrelevant context.</x:v>
      </x:c>
      <x:c r="I83" s="26" t="str">
        <x:v>Prereqs: DEC-01, LRN-03</x:v>
      </x:c>
      <x:c r="J83" s="26" t="str">
        <x:v>Portfolio owner</x:v>
      </x:c>
      <x:c r="K83" s="26" t="str">
        <x:v>STAGE_LEVEL_HISTORY_ONLY</x:v>
      </x:c>
      <x:c r="L83" s="26" t="str">
        <x:v>NOT_MAPPED</x:v>
      </x:c>
      <x:c r="M83" s="26" t="str">
        <x:v>NOT_APPLICABLE</x:v>
      </x:c>
      <x:c r="N83" s="26" t="str">
        <x:v>Historical stage/package build claims exist; not yet mapped to this exact row. This is not a missing-implementation finding and does not reopen prior closures.</x:v>
      </x:c>
      <x:c r="O83" s="26" t="str">
        <x:v>Map existing exact evidence first; implement only a demonstrated gap, then satisfy this row's closure condition.</x:v>
      </x:c>
      <x:c r="P83" s="26" t="str">
        <x:v>S01, S02, S12, S14 | §15.2</x:v>
      </x:c>
      <x:c r="Q83" s="26" t="str">
        <x:v>https://github.com/sarmadkhan17/Luffy/blob/9385f792f32277bb0b826dba83247b8f5ccf1f8a/SDD.md</x:v>
      </x:c>
    </x:row>
    <x:row r="84" ht="92" customHeight="1">
      <x:c r="A84" s="30" t="str">
        <x:v>PORT-04</x:v>
      </x:c>
      <x:c r="B84" s="26" t="str">
        <x:v>Portfolio</x:v>
      </x:c>
      <x:c r="C84" s="26" t="str">
        <x:v>BASELINE</x:v>
      </x:c>
      <x:c r="D84" s="26" t="str">
        <x:v>EVIDENCE_TO_MAP</x:v>
      </x:c>
      <x:c r="E84" s="26" t="str">
        <x:v>Measure common-factor, concentration and correlated evidence exposure.</x:v>
      </x:c>
      <x:c r="F84" s="26" t="str">
        <x:v>Many symbols may be the same economic bet.</x:v>
      </x:c>
      <x:c r="G84" s="26" t="str">
        <x:v>Exact whole-book measurement and lineage identify concentration/common-factor risk for deterministic constraints.</x:v>
      </x:c>
      <x:c r="H84" s="26" t="str">
        <x:v>No fabricated factor penalty or permanent assumed correlation.</x:v>
      </x:c>
      <x:c r="I84" s="26" t="str">
        <x:v>Prereqs: WRLD-07, QNT-03, PORT-01</x:v>
      </x:c>
      <x:c r="J84" s="26" t="str">
        <x:v>Portfolio owner</x:v>
      </x:c>
      <x:c r="K84" s="26" t="str">
        <x:v>STAGE_LEVEL_HISTORY_ONLY</x:v>
      </x:c>
      <x:c r="L84" s="26" t="str">
        <x:v>NOT_MAPPED</x:v>
      </x:c>
      <x:c r="M84" s="26" t="str">
        <x:v>NOT_APPLICABLE</x:v>
      </x:c>
      <x:c r="N84" s="26" t="str">
        <x:v>Historical stage/package build claims exist; not yet mapped to this exact row. This is not a missing-implementation finding and does not reopen prior closures.</x:v>
      </x:c>
      <x:c r="O84" s="26" t="str">
        <x:v>Map existing exact evidence first; implement only a demonstrated gap, then satisfy this row's closure condition.</x:v>
      </x:c>
      <x:c r="P84" s="26" t="str">
        <x:v>S01, S02, S12, S14 | §16.2</x:v>
      </x:c>
      <x:c r="Q84" s="26" t="str">
        <x:v>https://github.com/sarmadkhan17/Luffy/blob/9385f792f32277bb0b826dba83247b8f5ccf1f8a/SDD.md</x:v>
      </x:c>
    </x:row>
    <x:row r="85" ht="92" customHeight="1">
      <x:c r="A85" s="30" t="str">
        <x:v>PORT-05</x:v>
      </x:c>
      <x:c r="B85" s="26" t="str">
        <x:v>Portfolio</x:v>
      </x:c>
      <x:c r="C85" s="26" t="str">
        <x:v>BASELINE</x:v>
      </x:c>
      <x:c r="D85" s="26" t="str">
        <x:v>EVIDENCE_TO_MAP</x:v>
      </x:c>
      <x:c r="E85" s="26" t="str">
        <x:v>Respect capacity, funding, margin and venue-size bounds.</x:v>
      </x:c>
      <x:c r="F85" s="26" t="str">
        <x:v>Scaling must not destroy edge or exceed verified allowance.</x:v>
      </x:c>
      <x:c r="G85" s="26" t="str">
        <x:v>Existing authoritative capacity/depth/cost/account receipts constrain actual proposed size under exact current context.</x:v>
      </x:c>
      <x:c r="H85" s="26" t="str">
        <x:v>No desired leverage, static symbol string or missing receipt becomes permission.</x:v>
      </x:c>
      <x:c r="I85" s="26" t="str">
        <x:v>Prereqs: PORT-02, RISK-02</x:v>
      </x:c>
      <x:c r="J85" s="26" t="str">
        <x:v>Portfolio owner</x:v>
      </x:c>
      <x:c r="K85" s="26" t="str">
        <x:v>STAGE_LEVEL_HISTORY_ONLY</x:v>
      </x:c>
      <x:c r="L85" s="26" t="str">
        <x:v>NOT_MAPPED</x:v>
      </x:c>
      <x:c r="M85" s="26" t="str">
        <x:v>NOT_APPLICABLE</x:v>
      </x:c>
      <x:c r="N85" s="26" t="str">
        <x:v>Historical stage/package build claims exist; not yet mapped to this exact row. This is not a missing-implementation finding and does not reopen prior closures.</x:v>
      </x:c>
      <x:c r="O85" s="26" t="str">
        <x:v>Map existing exact evidence first; implement only a demonstrated gap, then satisfy this row's closure condition.</x:v>
      </x:c>
      <x:c r="P85" s="26" t="str">
        <x:v>S01, S02, S12, S14 | §16.3</x:v>
      </x:c>
      <x:c r="Q85" s="26" t="str">
        <x:v>https://github.com/sarmadkhan17/Luffy/blob/9385f792f32277bb0b826dba83247b8f5ccf1f8a/SDD.md</x:v>
      </x:c>
    </x:row>
    <x:row r="86" ht="92" customHeight="1">
      <x:c r="A86" s="30" t="str">
        <x:v>PORT-06</x:v>
      </x:c>
      <x:c r="B86" s="26" t="str">
        <x:v>Portfolio</x:v>
      </x:c>
      <x:c r="C86" s="26" t="str">
        <x:v>BASELINE</x:v>
      </x:c>
      <x:c r="D86" s="26" t="str">
        <x:v>EVIDENCE_TO_MAP</x:v>
      </x:c>
      <x:c r="E86" s="26" t="str">
        <x:v>Make opportunity-cost replacement conditional on incremental net benefit.</x:v>
      </x:c>
      <x:c r="F86" s="26" t="str">
        <x:v>Avoids expensive turnover based only on stronger-looking signals.</x:v>
      </x:c>
      <x:c r="G86" s="26" t="str">
        <x:v>Switching comparison includes costs and book impact and is an explicit Risk-routed recommendation; unknowns stay unknown.</x:v>
      </x:c>
      <x:c r="H86" s="26" t="str">
        <x:v>BETTER_OPPORTUNITY_OBSERVED alone cannot trigger replacement or continuous resizing.</x:v>
      </x:c>
      <x:c r="I86" s="26" t="str">
        <x:v>Prereqs: PORT-01, PORT-02</x:v>
      </x:c>
      <x:c r="J86" s="26" t="str">
        <x:v>Portfolio owner</x:v>
      </x:c>
      <x:c r="K86" s="26" t="str">
        <x:v>STAGE_LEVEL_HISTORY_ONLY</x:v>
      </x:c>
      <x:c r="L86" s="26" t="str">
        <x:v>NOT_MAPPED</x:v>
      </x:c>
      <x:c r="M86" s="26" t="str">
        <x:v>NOT_APPLICABLE</x:v>
      </x:c>
      <x:c r="N86" s="26" t="str">
        <x:v>Historical stage/package build claims exist; not yet mapped to this exact row. This is not a missing-implementation finding and does not reopen prior closures.</x:v>
      </x:c>
      <x:c r="O86" s="26" t="str">
        <x:v>Map existing exact evidence first; implement only a demonstrated gap, then satisfy this row's closure condition.</x:v>
      </x:c>
      <x:c r="P86" s="26" t="str">
        <x:v>S01, S02, S12, S14 | §16.4</x:v>
      </x:c>
      <x:c r="Q86" s="26" t="str">
        <x:v>https://github.com/sarmadkhan17/Luffy/blob/9385f792f32277bb0b826dba83247b8f5ccf1f8a/SDD.md</x:v>
      </x:c>
    </x:row>
    <x:row r="87" ht="92" customHeight="1">
      <x:c r="A87" s="30" t="str">
        <x:v>PORT-07</x:v>
      </x:c>
      <x:c r="B87" s="26" t="str">
        <x:v>Portfolio</x:v>
      </x:c>
      <x:c r="C87" s="26" t="str">
        <x:v>BASELINE</x:v>
      </x:c>
      <x:c r="D87" s="26" t="str">
        <x:v>EVIDENCE_TO_MAP</x:v>
      </x:c>
      <x:c r="E87" s="26" t="str">
        <x:v>Reoptimize on registered material events, not forced periodic turnover.</x:v>
      </x:c>
      <x:c r="F87" s="26" t="str">
        <x:v>Distinguishes evaluation cadence from allocation authority.</x:v>
      </x:c>
      <x:c r="G87" s="26" t="str">
        <x:v>Normal event-driven caller invokes allocator deterministically with restart-safe checkpoints and no invented materiality thresholds.</x:v>
      </x:c>
      <x:c r="H87" s="26" t="str">
        <x:v>Same event does not produce duplicate allocation and absent materiality policy remains explicit.</x:v>
      </x:c>
      <x:c r="I87" s="26" t="str">
        <x:v>Prereqs: PORT-01, DEC-04</x:v>
      </x:c>
      <x:c r="J87" s="26" t="str">
        <x:v>Portfolio owner</x:v>
      </x:c>
      <x:c r="K87" s="26" t="str">
        <x:v>STAGE_LEVEL_HISTORY_ONLY</x:v>
      </x:c>
      <x:c r="L87" s="26" t="str">
        <x:v>NOT_MAPPED</x:v>
      </x:c>
      <x:c r="M87" s="26" t="str">
        <x:v>NOT_APPLICABLE</x:v>
      </x:c>
      <x:c r="N87" s="26" t="str">
        <x:v>Historical stage/package build claims exist; not yet mapped to this exact row. This is not a missing-implementation finding and does not reopen prior closures.</x:v>
      </x:c>
      <x:c r="O87" s="26" t="str">
        <x:v>Map existing exact evidence first; implement only a demonstrated gap, then satisfy this row's closure condition.</x:v>
      </x:c>
      <x:c r="P87" s="26" t="str">
        <x:v>S01, S02, S12, S14 | §16.6</x:v>
      </x:c>
      <x:c r="Q87" s="26" t="str">
        <x:v>https://github.com/sarmadkhan17/Luffy/blob/9385f792f32277bb0b826dba83247b8f5ccf1f8a/SDD.md</x:v>
      </x:c>
    </x:row>
    <x:row r="88" ht="92" customHeight="1">
      <x:c r="A88" s="30" t="str">
        <x:v>PORT-08</x:v>
      </x:c>
      <x:c r="B88" s="26" t="str">
        <x:v>Portfolio</x:v>
      </x:c>
      <x:c r="C88" s="26" t="str">
        <x:v>BASELINE</x:v>
      </x:c>
      <x:c r="D88" s="26" t="str">
        <x:v>EVIDENCE_TO_MAP</x:v>
      </x:c>
      <x:c r="E88" s="26" t="str">
        <x:v>Deliver exact TradeIntent identity through Risk and future execution lineage.</x:v>
      </x:c>
      <x:c r="F88" s="26" t="str">
        <x:v>Avoids invented HOLD/allocation identities and orphan outcomes.</x:v>
      </x:c>
      <x:c r="G88" s="26" t="str">
        <x:v>Proposal, intention, Risk allow/refusal and outcome bind the original decision and terminal registration; normal adapters are exercised.</x:v>
      </x:c>
      <x:c r="H88" s="26" t="str">
        <x:v>Failed delivery cannot fall back to an unrelated scan registration or route unapproved execution.</x:v>
      </x:c>
      <x:c r="I88" s="26" t="str">
        <x:v>Prereqs: PORT-01, RISK-01, OUT-01</x:v>
      </x:c>
      <x:c r="J88" s="26" t="str">
        <x:v>Portfolio owner</x:v>
      </x:c>
      <x:c r="K88" s="26" t="str">
        <x:v>STAGE_LEVEL_HISTORY_ONLY</x:v>
      </x:c>
      <x:c r="L88" s="26" t="str">
        <x:v>NOT_MAPPED</x:v>
      </x:c>
      <x:c r="M88" s="26" t="str">
        <x:v>NOT_APPLICABLE</x:v>
      </x:c>
      <x:c r="N88" s="26" t="str">
        <x:v>Historical stage/package build claims exist; not yet mapped to this exact row. This is not a missing-implementation finding and does not reopen prior closures.</x:v>
      </x:c>
      <x:c r="O88" s="26" t="str">
        <x:v>Map existing exact evidence first; implement only a demonstrated gap, then satisfy this row's closure condition.</x:v>
      </x:c>
      <x:c r="P88" s="26" t="str">
        <x:v>S01, S02, S12, S14 | §§4.2,6.5,16.7</x:v>
      </x:c>
      <x:c r="Q88" s="26" t="str">
        <x:v>https://github.com/sarmadkhan17/Luffy/blob/9385f792f32277bb0b826dba83247b8f5ccf1f8a/SDD.md</x:v>
      </x:c>
    </x:row>
    <x:row r="89" ht="92" customHeight="1">
      <x:c r="A89" s="30" t="str">
        <x:v>RISK-01</x:v>
      </x:c>
      <x:c r="B89" s="26" t="str">
        <x:v>Risk</x:v>
      </x:c>
      <x:c r="C89" s="26" t="str">
        <x:v>BASELINE</x:v>
      </x:c>
      <x:c r="D89" s="26" t="str">
        <x:v>EVIDENCE_TO_MAP</x:v>
      </x:c>
      <x:c r="E89" s="26" t="str">
        <x:v>Require current exactly bound deterministic Risk permission for new exposure.</x:v>
      </x:c>
      <x:c r="F89" s="26" t="str">
        <x:v>No actor may turn a proposal into exposure by bypassing Risk.</x:v>
      </x:c>
      <x:c r="G89" s="26" t="str">
        <x:v>All normal/legacy/direct/retry/owner entry callers require allowed intent/instrument/direction/quantity/policy/account/capability/freshness bindings.</x:v>
      </x:c>
      <x:c r="H89" s="26" t="str">
        <x:v>Remove Risk gate mutant, stale/mismatched permission and ACTIVE-only entry are refused.</x:v>
      </x:c>
      <x:c r="I89" s="26" t="str">
        <x:v>Prereqs: DATA-01, DATA-02</x:v>
      </x:c>
      <x:c r="J89" s="26" t="str">
        <x:v>Risk owner</x:v>
      </x:c>
      <x:c r="K89" s="26" t="str">
        <x:v>STAGE_LEVEL_HISTORY_ONLY</x:v>
      </x:c>
      <x:c r="L89" s="26" t="str">
        <x:v>NOT_MAPPED</x:v>
      </x:c>
      <x:c r="M89" s="26" t="str">
        <x:v>NOT_APPLICABLE</x:v>
      </x:c>
      <x:c r="N89" s="26" t="str">
        <x:v>Historical stage/package build claims exist; not yet mapped to this exact row. This is not a missing-implementation finding and does not reopen prior closures.</x:v>
      </x:c>
      <x:c r="O89" s="26" t="str">
        <x:v>Map existing exact evidence first; implement only a demonstrated gap, then satisfy this row's closure condition.</x:v>
      </x:c>
      <x:c r="P89" s="26" t="str">
        <x:v>S01, S02, S12, S14 | §§17,35.6</x:v>
      </x:c>
      <x:c r="Q89" s="26" t="str">
        <x:v>https://github.com/sarmadkhan17/Luffy/blob/9385f792f32277bb0b826dba83247b8f5ccf1f8a/SDD.md</x:v>
      </x:c>
    </x:row>
    <x:row r="90" ht="92" customHeight="1">
      <x:c r="A90" s="30" t="str">
        <x:v>RISK-02</x:v>
      </x:c>
      <x:c r="B90" s="26" t="str">
        <x:v>Risk</x:v>
      </x:c>
      <x:c r="C90" s="26" t="str">
        <x:v>BASELINE</x:v>
      </x:c>
      <x:c r="D90" s="26" t="str">
        <x:v>EVIDENCE_TO_MAP</x:v>
      </x:c>
      <x:c r="E90" s="26" t="str">
        <x:v>Validate numeric, leverage, margin and order feasibility from authority.</x:v>
      </x:c>
      <x:c r="F90" s="26" t="str">
        <x:v>NaN, desired leverage or unknown allowance cannot authorize exposure.</x:v>
      </x:c>
      <x:c r="G90" s="26" t="str">
        <x:v>Finite positive quantity/price/equity, venue precision/minimums, verified leverage/brackets and stop feasibility constrain admission.</x:v>
      </x:c>
      <x:c r="H90" s="26" t="str">
        <x:v>NaN/Infinity/negative input, wrong capability or unverified leverage fails closed.</x:v>
      </x:c>
      <x:c r="I90" s="26" t="str">
        <x:v>Prereqs: RISK-01</x:v>
      </x:c>
      <x:c r="J90" s="26" t="str">
        <x:v>Risk owner</x:v>
      </x:c>
      <x:c r="K90" s="26" t="str">
        <x:v>STAGE_LEVEL_HISTORY_ONLY</x:v>
      </x:c>
      <x:c r="L90" s="26" t="str">
        <x:v>NOT_MAPPED</x:v>
      </x:c>
      <x:c r="M90" s="26" t="str">
        <x:v>NOT_APPLICABLE</x:v>
      </x:c>
      <x:c r="N90" s="26" t="str">
        <x:v>Historical stage/package build claims exist; not yet mapped to this exact row. This is not a missing-implementation finding and does not reopen prior closures.</x:v>
      </x:c>
      <x:c r="O90" s="26" t="str">
        <x:v>Map existing exact evidence first; implement only a demonstrated gap, then satisfy this row's closure condition.</x:v>
      </x:c>
      <x:c r="P90" s="26" t="str">
        <x:v>S01, S02, S12, S14 | §17.1</x:v>
      </x:c>
      <x:c r="Q90" s="26" t="str">
        <x:v>https://github.com/sarmadkhan17/Luffy/blob/9385f792f32277bb0b826dba83247b8f5ccf1f8a/SDD.md</x:v>
      </x:c>
    </x:row>
    <x:row r="91" ht="92" customHeight="1">
      <x:c r="A91" s="30" t="str">
        <x:v>RISK-03</x:v>
      </x:c>
      <x:c r="B91" s="26" t="str">
        <x:v>Risk</x:v>
      </x:c>
      <x:c r="C91" s="26" t="str">
        <x:v>BASELINE</x:v>
      </x:c>
      <x:c r="D91" s="26" t="str">
        <x:v>EVIDENCE_TO_MAP</x:v>
      </x:c>
      <x:c r="E91" s="26" t="str">
        <x:v>Enforce whole-account survival limits and deterministic capital preservation.</x:v>
      </x:c>
      <x:c r="F91" s="26" t="str">
        <x:v>Limits must bind the complete portfolio, not individual attractive signals.</x:v>
      </x:c>
      <x:c r="G91" s="26" t="str">
        <x:v>Current owner policy enforces heat, margin, concentration, period losses/drawdown and pre-catastrophe preservation while keeping protective exits.</x:v>
      </x:c>
      <x:c r="H91" s="26" t="str">
        <x:v>No autonomous Risk expansion, reset baseline/allowance or loss-driven forced trading.</x:v>
      </x:c>
      <x:c r="I91" s="26" t="str">
        <x:v>Prereqs: RISK-01, PORT-04</x:v>
      </x:c>
      <x:c r="J91" s="26" t="str">
        <x:v>Risk owner</x:v>
      </x:c>
      <x:c r="K91" s="26" t="str">
        <x:v>STAGE_LEVEL_HISTORY_ONLY</x:v>
      </x:c>
      <x:c r="L91" s="26" t="str">
        <x:v>NOT_MAPPED</x:v>
      </x:c>
      <x:c r="M91" s="26" t="str">
        <x:v>NOT_APPLICABLE</x:v>
      </x:c>
      <x:c r="N91" s="26" t="str">
        <x:v>Historical stage/package build claims exist; not yet mapped to this exact row. This is not a missing-implementation finding and does not reopen prior closures.</x:v>
      </x:c>
      <x:c r="O91" s="26" t="str">
        <x:v>Map existing exact evidence first; implement only a demonstrated gap, then satisfy this row's closure condition.</x:v>
      </x:c>
      <x:c r="P91" s="26" t="str">
        <x:v>S01, S02, S12, S14 | §§2.6,13.4,17.1–17.4</x:v>
      </x:c>
      <x:c r="Q91" s="26" t="str">
        <x:v>https://github.com/sarmadkhan17/Luffy/blob/9385f792f32277bb0b826dba83247b8f5ccf1f8a/SDD.md</x:v>
      </x:c>
    </x:row>
    <x:row r="92" ht="92" customHeight="1">
      <x:c r="A92" s="30" t="str">
        <x:v>RISK-04</x:v>
      </x:c>
      <x:c r="B92" s="26" t="str">
        <x:v>Risk</x:v>
      </x:c>
      <x:c r="C92" s="26" t="str">
        <x:v>BASELINE</x:v>
      </x:c>
      <x:c r="D92" s="26" t="str">
        <x:v>EVIDENCE_TO_MAP</x:v>
      </x:c>
      <x:c r="E92" s="26" t="str">
        <x:v>Make all limit changes explicit owner decisions with versioned replay.</x:v>
      </x:c>
      <x:c r="F92" s="26" t="str">
        <x:v>Policy changes must not rewrite old decisions or be inferred from UI text.</x:v>
      </x:c>
      <x:c r="G92" s="26" t="str">
        <x:v>Changes have authenticated typed approval, versioned effectivity and traceable old/new values.</x:v>
      </x:c>
      <x:c r="H92" s="26" t="str">
        <x:v>Research/LLM/learning/chat cannot silently expand limits or backdate policy.</x:v>
      </x:c>
      <x:c r="I92" s="26" t="str">
        <x:v>Prereqs: OWN-02, RISK-03</x:v>
      </x:c>
      <x:c r="J92" s="26" t="str">
        <x:v>Risk owner</x:v>
      </x:c>
      <x:c r="K92" s="26" t="str">
        <x:v>STAGE_LEVEL_HISTORY_ONLY</x:v>
      </x:c>
      <x:c r="L92" s="26" t="str">
        <x:v>NOT_MAPPED</x:v>
      </x:c>
      <x:c r="M92" s="26" t="str">
        <x:v>NOT_APPLICABLE</x:v>
      </x:c>
      <x:c r="N92" s="26" t="str">
        <x:v>Historical stage/package build claims exist; not yet mapped to this exact row. This is not a missing-implementation finding and does not reopen prior closures.</x:v>
      </x:c>
      <x:c r="O92" s="26" t="str">
        <x:v>Map existing exact evidence first; implement only a demonstrated gap, then satisfy this row's closure condition.</x:v>
      </x:c>
      <x:c r="P92" s="26" t="str">
        <x:v>S01, S02, S12, S14 | §§2.6,17.4,25.4</x:v>
      </x:c>
      <x:c r="Q92" s="26" t="str">
        <x:v>https://github.com/sarmadkhan17/Luffy/blob/9385f792f32277bb0b826dba83247b8f5ccf1f8a/SDD.md</x:v>
      </x:c>
    </x:row>
    <x:row r="93" ht="92" customHeight="1">
      <x:c r="A93" s="30" t="str">
        <x:v>EXE-01</x:v>
      </x:c>
      <x:c r="B93" s="26" t="str">
        <x:v>Execution &amp; recovery</x:v>
      </x:c>
      <x:c r="C93" s="26" t="str">
        <x:v>BASELINE</x:v>
      </x:c>
      <x:c r="D93" s="26" t="str">
        <x:v>EVIDENCE_TO_MAP</x:v>
      </x:c>
      <x:c r="E93" s="26" t="str">
        <x:v>Execute normalized approved intents with durable idempotency.</x:v>
      </x:c>
      <x:c r="F93" s="26" t="str">
        <x:v>Retry, timeout or restart must not duplicate new exposure.</x:v>
      </x:c>
      <x:c r="G93" s="26" t="str">
        <x:v>Persistent logical action, client order IDs, durable completed/unknown state and reopen tests prevent duplicate entry across all paths.</x:v>
      </x:c>
      <x:c r="H93" s="26" t="str">
        <x:v>Lost response is not non-submission; queue redelivery and crash reuse the same action identity.</x:v>
      </x:c>
      <x:c r="I93" s="26" t="str">
        <x:v>Prereqs: RISK-01</x:v>
      </x:c>
      <x:c r="J93" s="26" t="str">
        <x:v>Execution &amp; recovery owner</x:v>
      </x:c>
      <x:c r="K93" s="26" t="str">
        <x:v>STAGE_LEVEL_HISTORY_ONLY</x:v>
      </x:c>
      <x:c r="L93" s="26" t="str">
        <x:v>NOT_MAPPED</x:v>
      </x:c>
      <x:c r="M93" s="26" t="str">
        <x:v>NOT_APPLICABLE</x:v>
      </x:c>
      <x:c r="N93" s="26" t="str">
        <x:v>Historical stage/package build claims exist; not yet mapped to this exact row. This is not a missing-implementation finding and does not reopen prior closures.</x:v>
      </x:c>
      <x:c r="O93" s="26" t="str">
        <x:v>Map existing exact evidence first; implement only a demonstrated gap, then satisfy this row's closure condition.</x:v>
      </x:c>
      <x:c r="P93" s="26" t="str">
        <x:v>S01, S02, S08, S12, S14 | §§18,18.3</x:v>
      </x:c>
      <x:c r="Q93" s="26" t="str">
        <x:v>https://github.com/sarmadkhan17/Luffy/blob/9385f792f32277bb0b826dba83247b8f5ccf1f8a/SDD.md</x:v>
      </x:c>
    </x:row>
    <x:row r="94" ht="92" customHeight="1">
      <x:c r="A94" s="30" t="str">
        <x:v>EXE-02</x:v>
      </x:c>
      <x:c r="B94" s="26" t="str">
        <x:v>Execution &amp; recovery</x:v>
      </x:c>
      <x:c r="C94" s="26" t="str">
        <x:v>BASELINE</x:v>
      </x:c>
      <x:c r="D94" s="26" t="str">
        <x:v>EVIDENCE_TO_MAP</x:v>
      </x:c>
      <x:c r="E94" s="26" t="str">
        <x:v>Reconcile unknown outcomes before reissuing an action.</x:v>
      </x:c>
      <x:c r="F94" s="26" t="str">
        <x:v>A request may reach the venue even without a local acknowledgement.</x:v>
      </x:c>
      <x:c r="G94" s="26" t="str">
        <x:v>UNKNOWN actions stay explicit and resolve by exact venue/order/fill evidence under recovery authority.</x:v>
      </x:c>
      <x:c r="H94" s="26" t="str">
        <x:v>Missing acknowledgement or lookup failure cannot become permission to submit a fresh order.</x:v>
      </x:c>
      <x:c r="I94" s="26" t="str">
        <x:v>Prereqs: EXE-01, ACC-01</x:v>
      </x:c>
      <x:c r="J94" s="26" t="str">
        <x:v>Execution &amp; recovery owner</x:v>
      </x:c>
      <x:c r="K94" s="26" t="str">
        <x:v>STAGE_LEVEL_HISTORY_ONLY</x:v>
      </x:c>
      <x:c r="L94" s="26" t="str">
        <x:v>NOT_MAPPED</x:v>
      </x:c>
      <x:c r="M94" s="26" t="str">
        <x:v>NOT_APPLICABLE</x:v>
      </x:c>
      <x:c r="N94" s="26" t="str">
        <x:v>Historical stage/package build claims exist; not yet mapped to this exact row. This is not a missing-implementation finding and does not reopen prior closures.</x:v>
      </x:c>
      <x:c r="O94" s="26" t="str">
        <x:v>Map existing exact evidence first; implement only a demonstrated gap, then satisfy this row's closure condition.</x:v>
      </x:c>
      <x:c r="P94" s="26" t="str">
        <x:v>S01, S02, S08, S12, S14 | §§18.1,18.3,27</x:v>
      </x:c>
      <x:c r="Q94" s="26" t="str">
        <x:v>https://github.com/sarmadkhan17/Luffy/blob/9385f792f32277bb0b826dba83247b8f5ccf1f8a/SDD.md</x:v>
      </x:c>
    </x:row>
    <x:row r="95" ht="92" customHeight="1">
      <x:c r="A95" s="30" t="str">
        <x:v>EXE-03</x:v>
      </x:c>
      <x:c r="B95" s="26" t="str">
        <x:v>Execution &amp; recovery</x:v>
      </x:c>
      <x:c r="C95" s="26" t="str">
        <x:v>BASELINE</x:v>
      </x:c>
      <x:c r="D95" s="26" t="str">
        <x:v>EVIDENCE_TO_MAP</x:v>
      </x:c>
      <x:c r="E95" s="26" t="str">
        <x:v>Handle partial fills/exits and cancel/replace without duplicate reduction.</x:v>
      </x:c>
      <x:c r="F95" s="26" t="str">
        <x:v>An unknown partial exit must not sell the remaining position twice.</x:v>
      </x:c>
      <x:c r="G95" s="26" t="str">
        <x:v>A persisted reduction intent survives execution/timeout/reopen and applies at most once; subsequent planned actions use distinct identities.</x:v>
      </x:c>
      <x:c r="H95" s="26" t="str">
        <x:v>10→intended reduction 5→venue fill then timeout cannot reduce the remaining 5 again.</x:v>
      </x:c>
      <x:c r="I95" s="26" t="str">
        <x:v>Prereqs: EXE-02</x:v>
      </x:c>
      <x:c r="J95" s="26" t="str">
        <x:v>Execution &amp; recovery owner</x:v>
      </x:c>
      <x:c r="K95" s="26" t="str">
        <x:v>STAGE_LEVEL_HISTORY_ONLY</x:v>
      </x:c>
      <x:c r="L95" s="26" t="str">
        <x:v>NOT_MAPPED</x:v>
      </x:c>
      <x:c r="M95" s="26" t="str">
        <x:v>NOT_APPLICABLE</x:v>
      </x:c>
      <x:c r="N95" s="26" t="str">
        <x:v>Historical stage/package build claims exist; not yet mapped to this exact row. This is not a missing-implementation finding and does not reopen prior closures.</x:v>
      </x:c>
      <x:c r="O95" s="26" t="str">
        <x:v>Map existing exact evidence first; implement only a demonstrated gap, then satisfy this row's closure condition.</x:v>
      </x:c>
      <x:c r="P95" s="26" t="str">
        <x:v>S01, S02, S08, S12, S14 | §§18,18.5</x:v>
      </x:c>
      <x:c r="Q95" s="26" t="str">
        <x:v>https://github.com/sarmadkhan17/Luffy/blob/9385f792f32277bb0b826dba83247b8f5ccf1f8a/SDD.md</x:v>
      </x:c>
    </x:row>
    <x:row r="96" ht="92" customHeight="1">
      <x:c r="A96" s="30" t="str">
        <x:v>EXE-04</x:v>
      </x:c>
      <x:c r="B96" s="26" t="str">
        <x:v>Execution &amp; recovery</x:v>
      </x:c>
      <x:c r="C96" s="26" t="str">
        <x:v>BASELINE</x:v>
      </x:c>
      <x:c r="D96" s="26" t="str">
        <x:v>EVIDENCE_TO_MAP</x:v>
      </x:c>
      <x:c r="E96" s="26" t="str">
        <x:v>Preserve approved exit-plan authority.</x:v>
      </x:c>
      <x:c r="F96" s="26" t="str">
        <x:v>Confidence updates must not silently alter live trade geometry.</x:v>
      </x:c>
      <x:c r="G96" s="26" t="str">
        <x:v>Native stop, trail, partial, invalidation and permitted scale-in follow the exact strategy version/plan or explicit safety authority.</x:v>
      </x:c>
      <x:c r="H96" s="26" t="str">
        <x:v>Wrong strategy version or confidence-only resizing is refused.</x:v>
      </x:c>
      <x:c r="I96" s="26" t="str">
        <x:v>Prereqs: STR-01, DEC-03</x:v>
      </x:c>
      <x:c r="J96" s="26" t="str">
        <x:v>Execution &amp; recovery owner</x:v>
      </x:c>
      <x:c r="K96" s="26" t="str">
        <x:v>STAGE_LEVEL_HISTORY_ONLY</x:v>
      </x:c>
      <x:c r="L96" s="26" t="str">
        <x:v>NOT_MAPPED</x:v>
      </x:c>
      <x:c r="M96" s="26" t="str">
        <x:v>NOT_APPLICABLE</x:v>
      </x:c>
      <x:c r="N96" s="26" t="str">
        <x:v>Historical stage/package build claims exist; not yet mapped to this exact row. This is not a missing-implementation finding and does not reopen prior closures.</x:v>
      </x:c>
      <x:c r="O96" s="26" t="str">
        <x:v>Map existing exact evidence first; implement only a demonstrated gap, then satisfy this row's closure condition.</x:v>
      </x:c>
      <x:c r="P96" s="26" t="str">
        <x:v>S01, S02, S08, S12, S14 | §18.5</x:v>
      </x:c>
      <x:c r="Q96" s="26" t="str">
        <x:v>https://github.com/sarmadkhan17/Luffy/blob/9385f792f32277bb0b826dba83247b8f5ccf1f8a/SDD.md</x:v>
      </x:c>
    </x:row>
    <x:row r="97" ht="92" customHeight="1">
      <x:c r="A97" s="30" t="str">
        <x:v>EXE-05</x:v>
      </x:c>
      <x:c r="B97" s="26" t="str">
        <x:v>Execution &amp; recovery</x:v>
      </x:c>
      <x:c r="C97" s="26" t="str">
        <x:v>BASELINE</x:v>
      </x:c>
      <x:c r="D97" s="26" t="str">
        <x:v>EVIDENCE_TO_MAP</x:v>
      </x:c>
      <x:c r="E97" s="26" t="str">
        <x:v>Maintain native protection and detect naked/orphan exposure.</x:v>
      </x:c>
      <x:c r="F97" s="26" t="str">
        <x:v>Protection should survive process failure where supported.</x:v>
      </x:c>
      <x:c r="G97" s="26" t="str">
        <x:v>Real supported venue mode verifies size/side/protective IDs and handles missing/orphan/partial protection explicitly under approved actions.</x:v>
      </x:c>
      <x:c r="H97" s="26" t="str">
        <x:v>No false VERIFIED from local IDs or ordinary-order lists; one unavailable symbol must not strand others.</x:v>
      </x:c>
      <x:c r="I97" s="26" t="str">
        <x:v>Prereqs: EXE-04, ACC-01</x:v>
      </x:c>
      <x:c r="J97" s="26" t="str">
        <x:v>Execution &amp; recovery owner</x:v>
      </x:c>
      <x:c r="K97" s="26" t="str">
        <x:v>STAGE_LEVEL_HISTORY_ONLY</x:v>
      </x:c>
      <x:c r="L97" s="26" t="str">
        <x:v>NOT_MAPPED</x:v>
      </x:c>
      <x:c r="M97" s="26" t="str">
        <x:v>NOT_APPLICABLE</x:v>
      </x:c>
      <x:c r="N97" s="26" t="str">
        <x:v>Historical stage/package build claims exist; not yet mapped to this exact row. This is not a missing-implementation finding and does not reopen prior closures.</x:v>
      </x:c>
      <x:c r="O97" s="26" t="str">
        <x:v>Map existing exact evidence first; implement only a demonstrated gap, then satisfy this row's closure condition.</x:v>
      </x:c>
      <x:c r="P97" s="26" t="str">
        <x:v>S01, S02, S08, S12, S14 | §§18.1–18.2</x:v>
      </x:c>
      <x:c r="Q97" s="26" t="str">
        <x:v>https://github.com/sarmadkhan17/Luffy/blob/9385f792f32277bb0b826dba83247b8f5ccf1f8a/SDD.md</x:v>
      </x:c>
    </x:row>
    <x:row r="98" ht="92" customHeight="1">
      <x:c r="A98" s="30" t="str">
        <x:v>EXE-06</x:v>
      </x:c>
      <x:c r="B98" s="26" t="str">
        <x:v>Execution &amp; recovery</x:v>
      </x:c>
      <x:c r="C98" s="26" t="str">
        <x:v>BASELINE</x:v>
      </x:c>
      <x:c r="D98" s="26" t="str">
        <x:v>EVIDENCE_TO_MAP</x:v>
      </x:c>
      <x:c r="E98" s="26" t="str">
        <x:v>Recover from restart using durable state plus fresh venue truth.</x:v>
      </x:c>
      <x:c r="F98" s="26" t="str">
        <x:v>Local journal alone cannot prove actual exposure.</x:v>
      </x:c>
      <x:c r="G98" s="26" t="str">
        <x:v>Normal restart/restore resolves pending entry/partial actions, reconciles book/protection and asks current Risk before authorized activation.</x:v>
      </x:c>
      <x:c r="H98" s="26" t="str">
        <x:v>No implicit ACTIVE, blind retry, pending partial intent or overridden newer owner hold.</x:v>
      </x:c>
      <x:c r="I98" s="26" t="str">
        <x:v>Prereqs: EXE-02, EXE-03, EXE-05, RISK-01</x:v>
      </x:c>
      <x:c r="J98" s="26" t="str">
        <x:v>Execution &amp; recovery owner</x:v>
      </x:c>
      <x:c r="K98" s="26" t="str">
        <x:v>STAGE_LEVEL_HISTORY_ONLY</x:v>
      </x:c>
      <x:c r="L98" s="26" t="str">
        <x:v>NOT_MAPPED</x:v>
      </x:c>
      <x:c r="M98" s="26" t="str">
        <x:v>NOT_APPLICABLE</x:v>
      </x:c>
      <x:c r="N98" s="26" t="str">
        <x:v>Historical stage/package build claims exist; not yet mapped to this exact row. This is not a missing-implementation finding and does not reopen prior closures.</x:v>
      </x:c>
      <x:c r="O98" s="26" t="str">
        <x:v>Map existing exact evidence first; implement only a demonstrated gap, then satisfy this row's closure condition.</x:v>
      </x:c>
      <x:c r="P98" s="26" t="str">
        <x:v>S01, S02, S08, S12, S14 | §§6.7,24.1,27</x:v>
      </x:c>
      <x:c r="Q98" s="26" t="str">
        <x:v>https://github.com/sarmadkhan17/Luffy/blob/9385f792f32277bb0b826dba83247b8f5ccf1f8a/SDD.md</x:v>
      </x:c>
    </x:row>
    <x:row r="99" ht="92" customHeight="1">
      <x:c r="A99" s="30" t="str">
        <x:v>EXE-07</x:v>
      </x:c>
      <x:c r="B99" s="26" t="str">
        <x:v>Execution &amp; recovery</x:v>
      </x:c>
      <x:c r="C99" s="26" t="str">
        <x:v>BASELINE</x:v>
      </x:c>
      <x:c r="D99" s="26" t="str">
        <x:v>EVIDENCE_TO_MAP</x:v>
      </x:c>
      <x:c r="E99" s="26" t="str">
        <x:v>Record execution-quality timing and actual venue costs.</x:v>
      </x:c>
      <x:c r="F99" s="26" t="str">
        <x:v>Execution evidence must improve future cost/capacity analysis.</x:v>
      </x:c>
      <x:c r="G99" s="26" t="str">
        <x:v>Signal/decision/submission/fill times, reference/fill prices, spread, size/depth, fees and rejects/partials bind exact action IDs.</x:v>
      </x:c>
      <x:c r="H99" s="26" t="str">
        <x:v>Missing actual fees remain unavailable/estimated, never zero or verified money.</x:v>
      </x:c>
      <x:c r="I99" s="26" t="str">
        <x:v>Prereqs: EXE-01, ACC-02</x:v>
      </x:c>
      <x:c r="J99" s="26" t="str">
        <x:v>Execution &amp; recovery owner</x:v>
      </x:c>
      <x:c r="K99" s="26" t="str">
        <x:v>STAGE_LEVEL_HISTORY_ONLY</x:v>
      </x:c>
      <x:c r="L99" s="26" t="str">
        <x:v>NOT_MAPPED</x:v>
      </x:c>
      <x:c r="M99" s="26" t="str">
        <x:v>NOT_APPLICABLE</x:v>
      </x:c>
      <x:c r="N99" s="26" t="str">
        <x:v>Historical stage/package build claims exist; not yet mapped to this exact row. This is not a missing-implementation finding and does not reopen prior closures.</x:v>
      </x:c>
      <x:c r="O99" s="26" t="str">
        <x:v>Map existing exact evidence first; implement only a demonstrated gap, then satisfy this row's closure condition.</x:v>
      </x:c>
      <x:c r="P99" s="26" t="str">
        <x:v>S01, S02, S08, S12, S14 | §18.4</x:v>
      </x:c>
      <x:c r="Q99" s="26" t="str">
        <x:v>https://github.com/sarmadkhan17/Luffy/blob/9385f792f32277bb0b826dba83247b8f5ccf1f8a/SDD.md</x:v>
      </x:c>
    </x:row>
    <x:row r="100" ht="92" customHeight="1">
      <x:c r="A100" s="30" t="str">
        <x:v>ACC-01</x:v>
      </x:c>
      <x:c r="B100" s="26" t="str">
        <x:v>Accounting &amp; outcomes</x:v>
      </x:c>
      <x:c r="C100" s="26" t="str">
        <x:v>BASELINE</x:v>
      </x:c>
      <x:c r="D100" s="26" t="str">
        <x:v>EVIDENCE_TO_MAP</x:v>
      </x:c>
      <x:c r="E100" s="26" t="str">
        <x:v>Make venue receipts authoritative for monetary and exposure facts.</x:v>
      </x:c>
      <x:c r="F100" s="26" t="str">
        <x:v>Journal records and venue truth must remain distinguishable.</x:v>
      </x:c>
      <x:c r="G100" s="26" t="str">
        <x:v>Reconciliation retains raw receipts, field source and explicit discrepancy/corrective action; local estimates remain labelled.</x:v>
      </x:c>
      <x:c r="H100" s="26" t="str">
        <x:v>No silent overwrite of history, symbol-only identity substitution or invented actual exposure.</x:v>
      </x:c>
      <x:c r="I100" s="26" t="str">
        <x:v>Prereqs: DATA-01</x:v>
      </x:c>
      <x:c r="J100" s="26" t="str">
        <x:v>Accounting &amp; outcomes owner</x:v>
      </x:c>
      <x:c r="K100" s="26" t="str">
        <x:v>STAGE_LEVEL_HISTORY_ONLY</x:v>
      </x:c>
      <x:c r="L100" s="26" t="str">
        <x:v>NOT_MAPPED</x:v>
      </x:c>
      <x:c r="M100" s="26" t="str">
        <x:v>NOT_APPLICABLE</x:v>
      </x:c>
      <x:c r="N100" s="26" t="str">
        <x:v>Historical stage/package build claims exist; not yet mapped to this exact row. This is not a missing-implementation finding and does not reopen prior closures.</x:v>
      </x:c>
      <x:c r="O100" s="26" t="str">
        <x:v>Map existing exact evidence first; implement only a demonstrated gap, then satisfy this row's closure condition.</x:v>
      </x:c>
      <x:c r="P100" s="26" t="str">
        <x:v>S01, S02, S08, S12, S14 | §§18.1,18.6</x:v>
      </x:c>
      <x:c r="Q100" s="26" t="str">
        <x:v>https://github.com/sarmadkhan17/Luffy/blob/9385f792f32277bb0b826dba83247b8f5ccf1f8a/SDD.md</x:v>
      </x:c>
    </x:row>
    <x:row r="101" ht="92" customHeight="1">
      <x:c r="A101" s="30" t="str">
        <x:v>ACC-02</x:v>
      </x:c>
      <x:c r="B101" s="26" t="str">
        <x:v>Accounting &amp; outcomes</x:v>
      </x:c>
      <x:c r="C101" s="26" t="str">
        <x:v>BASELINE</x:v>
      </x:c>
      <x:c r="D101" s="26" t="str">
        <x:v>EVIDENCE_TO_MAP</x:v>
      </x:c>
      <x:c r="E101" s="26" t="str">
        <x:v>Preserve exact entry/exit/partial/funding/fee lineage.</x:v>
      </x:c>
      <x:c r="F101" s="26" t="str">
        <x:v>Enables actual net P&amp;L and reliable downstream learning.</x:v>
      </x:c>
      <x:c r="G101" s="26" t="str">
        <x:v>Order/fill/booked legs, trades, costs and financing bind original requests/decisions and their available receipts.</x:v>
      </x:c>
      <x:c r="H101" s="26" t="str">
        <x:v>Retry or partial accounting cannot double-book money; missing entry/exit identities stay unbound.</x:v>
      </x:c>
      <x:c r="I101" s="26" t="str">
        <x:v>Prereqs: ACC-01, EXE-01</x:v>
      </x:c>
      <x:c r="J101" s="26" t="str">
        <x:v>Accounting &amp; outcomes owner</x:v>
      </x:c>
      <x:c r="K101" s="26" t="str">
        <x:v>STAGE_LEVEL_HISTORY_ONLY</x:v>
      </x:c>
      <x:c r="L101" s="26" t="str">
        <x:v>NOT_MAPPED</x:v>
      </x:c>
      <x:c r="M101" s="26" t="str">
        <x:v>NOT_APPLICABLE</x:v>
      </x:c>
      <x:c r="N101" s="26" t="str">
        <x:v>Historical stage/package build claims exist; not yet mapped to this exact row. This is not a missing-implementation finding and does not reopen prior closures.</x:v>
      </x:c>
      <x:c r="O101" s="26" t="str">
        <x:v>Map existing exact evidence first; implement only a demonstrated gap, then satisfy this row's closure condition.</x:v>
      </x:c>
      <x:c r="P101" s="26" t="str">
        <x:v>S01, S02, S08, S12, S14 | §§18.4,18.6,19.2</x:v>
      </x:c>
      <x:c r="Q101" s="26" t="str">
        <x:v>https://github.com/sarmadkhan17/Luffy/blob/9385f792f32277bb0b826dba83247b8f5ccf1f8a/SDD.md</x:v>
      </x:c>
    </x:row>
    <x:row r="102" ht="92" customHeight="1">
      <x:c r="A102" s="30" t="str">
        <x:v>ACC-03</x:v>
      </x:c>
      <x:c r="B102" s="26" t="str">
        <x:v>Accounting &amp; outcomes</x:v>
      </x:c>
      <x:c r="C102" s="26" t="str">
        <x:v>BASELINE</x:v>
      </x:c>
      <x:c r="D102" s="26" t="str">
        <x:v>EVIDENCE_TO_MAP</x:v>
      </x:c>
      <x:c r="E102" s="26" t="str">
        <x:v>Report actual versus derived economics explicitly.</x:v>
      </x:c>
      <x:c r="F102" s="26" t="str">
        <x:v>Costs and net profitability cannot be inferred from nominal fills.</x:v>
      </x:c>
      <x:c r="G102" s="26" t="str">
        <x:v>Venue monetary fields and derived R/MFE/MAE/slippage/attribution have distinct status, source/version and coverage.</x:v>
      </x:c>
      <x:c r="H102" s="26" t="str">
        <x:v>Estimates are not relabelled actual; external unavailable cashflow does not become complete accounting.</x:v>
      </x:c>
      <x:c r="I102" s="26" t="str">
        <x:v>Prereqs: ACC-02</x:v>
      </x:c>
      <x:c r="J102" s="26" t="str">
        <x:v>Accounting &amp; outcomes owner</x:v>
      </x:c>
      <x:c r="K102" s="26" t="str">
        <x:v>STAGE_LEVEL_HISTORY_ONLY</x:v>
      </x:c>
      <x:c r="L102" s="26" t="str">
        <x:v>NOT_MAPPED</x:v>
      </x:c>
      <x:c r="M102" s="26" t="str">
        <x:v>NOT_APPLICABLE</x:v>
      </x:c>
      <x:c r="N102" s="26" t="str">
        <x:v>Historical stage/package build claims exist; not yet mapped to this exact row. This is not a missing-implementation finding and does not reopen prior closures.</x:v>
      </x:c>
      <x:c r="O102" s="26" t="str">
        <x:v>Map existing exact evidence first; implement only a demonstrated gap, then satisfy this row's closure condition.</x:v>
      </x:c>
      <x:c r="P102" s="26" t="str">
        <x:v>S01, S02, S08, S12, S14 | §§13.1,18.1,18.6</x:v>
      </x:c>
      <x:c r="Q102" s="26" t="str">
        <x:v>https://github.com/sarmadkhan17/Luffy/blob/9385f792f32277bb0b826dba83247b8f5ccf1f8a/SDD.md</x:v>
      </x:c>
    </x:row>
    <x:row r="103" ht="92" customHeight="1">
      <x:c r="A103" s="30" t="str">
        <x:v>OUT-01</x:v>
      </x:c>
      <x:c r="B103" s="26" t="str">
        <x:v>Accounting &amp; outcomes</x:v>
      </x:c>
      <x:c r="C103" s="26" t="str">
        <x:v>BASELINE</x:v>
      </x:c>
      <x:c r="D103" s="26" t="str">
        <x:v>EVIDENCE_TO_MAP</x:v>
      </x:c>
      <x:c r="E103" s="26" t="str">
        <x:v>Preserve decision→terminal action→outcome identity through normal adapters.</x:v>
      </x:c>
      <x:c r="F103" s="26" t="str">
        <x:v>Learning needs the action actually selected and compared evidence.</x:v>
      </x:c>
      <x:c r="G103" s="26" t="str">
        <x:v>Each supported scan/allocation/HOLD/Risk refusal/execution chain retains original ID, source manifest and terminal registration without manual priming.</x:v>
      </x:c>
      <x:c r="H103" s="26" t="str">
        <x:v>Root/allocation mismatch, failed delivery and fabricated fallback identity cannot yield a verified chain.</x:v>
      </x:c>
      <x:c r="I103" s="26" t="str">
        <x:v>Prereqs: DEC-04, DATA-02</x:v>
      </x:c>
      <x:c r="J103" s="26" t="str">
        <x:v>Accounting &amp; outcomes owner</x:v>
      </x:c>
      <x:c r="K103" s="26" t="str">
        <x:v>STAGE_LEVEL_HISTORY_ONLY</x:v>
      </x:c>
      <x:c r="L103" s="26" t="str">
        <x:v>NOT_MAPPED</x:v>
      </x:c>
      <x:c r="M103" s="26" t="str">
        <x:v>NOT_APPLICABLE</x:v>
      </x:c>
      <x:c r="N103" s="26" t="str">
        <x:v>Historical stage/package build claims exist; not yet mapped to this exact row. This is not a missing-implementation finding and does not reopen prior closures.</x:v>
      </x:c>
      <x:c r="O103" s="26" t="str">
        <x:v>Map existing exact evidence first; implement only a demonstrated gap, then satisfy this row's closure condition.</x:v>
      </x:c>
      <x:c r="P103" s="26" t="str">
        <x:v>S01, S02, S08, S12, S14 | §§6.5,19.1–19.3</x:v>
      </x:c>
      <x:c r="Q103" s="26" t="str">
        <x:v>https://github.com/sarmadkhan17/Luffy/blob/9385f792f32277bb0b826dba83247b8f5ccf1f8a/SDD.md</x:v>
      </x:c>
    </x:row>
    <x:row r="104" ht="92" customHeight="1">
      <x:c r="A104" s="30" t="str">
        <x:v>OUT-02</x:v>
      </x:c>
      <x:c r="B104" s="26" t="str">
        <x:v>Accounting &amp; outcomes</x:v>
      </x:c>
      <x:c r="C104" s="26" t="str">
        <x:v>BASELINE</x:v>
      </x:c>
      <x:c r="D104" s="26" t="str">
        <x:v>EVIDENCE_TO_MAP</x:v>
      </x:c>
      <x:c r="E104" s="26" t="str">
        <x:v>Measure all required outcome classes under declared protocols.</x:v>
      </x:c>
      <x:c r="F104" s="26" t="str">
        <x:v>Learning is not only from successful trades.</x:v>
      </x:c>
      <x:c r="G104" s="26" t="str">
        <x:v>Executed, rejected/Risk-blocked, cash/missed/skipped, research, execution-quality and data-quality outcomes have supported declared measurement and explicit incomplete state.</x:v>
      </x:c>
      <x:c r="H104" s="26" t="str">
        <x:v>No forced/fabricated counterfactual, pooling incompatible outcomes or rewriting historical contracts.</x:v>
      </x:c>
      <x:c r="I104" s="26" t="str">
        <x:v>Prereqs: OUT-01</x:v>
      </x:c>
      <x:c r="J104" s="26" t="str">
        <x:v>Accounting &amp; outcomes owner</x:v>
      </x:c>
      <x:c r="K104" s="26" t="str">
        <x:v>STAGE_LEVEL_HISTORY_ONLY</x:v>
      </x:c>
      <x:c r="L104" s="26" t="str">
        <x:v>NOT_MAPPED</x:v>
      </x:c>
      <x:c r="M104" s="26" t="str">
        <x:v>NOT_APPLICABLE</x:v>
      </x:c>
      <x:c r="N104" s="26" t="str">
        <x:v>Historical stage/package build claims exist; not yet mapped to this exact row. This is not a missing-implementation finding and does not reopen prior closures.</x:v>
      </x:c>
      <x:c r="O104" s="26" t="str">
        <x:v>Map existing exact evidence first; implement only a demonstrated gap, then satisfy this row's closure condition.</x:v>
      </x:c>
      <x:c r="P104" s="26" t="str">
        <x:v>S01, S02, S08, S12, S14 | §§19.1,21</x:v>
      </x:c>
      <x:c r="Q104" s="26" t="str">
        <x:v>https://github.com/sarmadkhan17/Luffy/blob/9385f792f32277bb0b826dba83247b8f5ccf1f8a/SDD.md</x:v>
      </x:c>
    </x:row>
    <x:row r="105" ht="92" customHeight="1">
      <x:c r="A105" s="30" t="str">
        <x:v>OUT-03</x:v>
      </x:c>
      <x:c r="B105" s="26" t="str">
        <x:v>Accounting &amp; outcomes</x:v>
      </x:c>
      <x:c r="C105" s="26" t="str">
        <x:v>BASELINE</x:v>
      </x:c>
      <x:c r="D105" s="26" t="str">
        <x:v>EVIDENCE_TO_MAP</x:v>
      </x:c>
      <x:c r="E105" s="26" t="str">
        <x:v>Reconstruct exact historical input and action without future information.</x:v>
      </x:c>
      <x:c r="F105" s="26" t="str">
        <x:v>Replay must prove what was known then, not today's best explanation.</x:v>
      </x:c>
      <x:c r="G105" s="26" t="str">
        <x:v>Data/world/spec/config/Risk/book/decision/action versions reconstruct and hash-verify at the original cut; logical retry is idempotent.</x:v>
      </x:c>
      <x:c r="H105" s="26" t="str">
        <x:v>Missing/mixed/future/corrupt evidence refuses; retained-input replay is not an execution-realism claim.</x:v>
      </x:c>
      <x:c r="I105" s="26" t="str">
        <x:v>Prereqs: OUT-01, DATA-03, WRLD-06</x:v>
      </x:c>
      <x:c r="J105" s="26" t="str">
        <x:v>Accounting &amp; outcomes owner</x:v>
      </x:c>
      <x:c r="K105" s="26" t="str">
        <x:v>STAGE_LEVEL_HISTORY_ONLY</x:v>
      </x:c>
      <x:c r="L105" s="26" t="str">
        <x:v>NOT_MAPPED</x:v>
      </x:c>
      <x:c r="M105" s="26" t="str">
        <x:v>NOT_APPLICABLE</x:v>
      </x:c>
      <x:c r="N105" s="26" t="str">
        <x:v>Historical stage/package build claims exist; not yet mapped to this exact row. This is not a missing-implementation finding and does not reopen prior closures.</x:v>
      </x:c>
      <x:c r="O105" s="26" t="str">
        <x:v>Map existing exact evidence first; implement only a demonstrated gap, then satisfy this row's closure condition.</x:v>
      </x:c>
      <x:c r="P105" s="26" t="str">
        <x:v>S01, S02, S08, S12, S14 | §19.3</x:v>
      </x:c>
      <x:c r="Q105" s="26" t="str">
        <x:v>https://github.com/sarmadkhan17/Luffy/blob/9385f792f32277bb0b826dba83247b8f5ccf1f8a/SDD.md</x:v>
      </x:c>
    </x:row>
    <x:row r="106" ht="92" customHeight="1">
      <x:c r="A106" s="30" t="str">
        <x:v>OUT-04</x:v>
      </x:c>
      <x:c r="B106" s="26" t="str">
        <x:v>Accounting &amp; outcomes</x:v>
      </x:c>
      <x:c r="C106" s="26" t="str">
        <x:v>BASELINE</x:v>
      </x:c>
      <x:c r="D106" s="26" t="str">
        <x:v>EVIDENCE_TO_MAP</x:v>
      </x:c>
      <x:c r="E106" s="26" t="str">
        <x:v>Separate attribution from causal proof.</x:v>
      </x:c>
      <x:c r="F106" s="26" t="str">
        <x:v>Observed association does not establish why a strategy won or lost.</x:v>
      </x:c>
      <x:c r="G106" s="26" t="str">
        <x:v>Exact hypothesis/spec/regime/size/cost/risk/data contributors are linked; unknown causal explanations remain UNKNOWN.</x:v>
      </x:c>
      <x:c r="H106" s="26" t="str">
        <x:v>Shared-lineage contributors or one result cannot create independent causal/predictive evidence.</x:v>
      </x:c>
      <x:c r="I106" s="26" t="str">
        <x:v>Prereqs: OUT-02, QNT-03</x:v>
      </x:c>
      <x:c r="J106" s="26" t="str">
        <x:v>Accounting &amp; outcomes owner</x:v>
      </x:c>
      <x:c r="K106" s="26" t="str">
        <x:v>STAGE_LEVEL_HISTORY_ONLY</x:v>
      </x:c>
      <x:c r="L106" s="26" t="str">
        <x:v>NOT_MAPPED</x:v>
      </x:c>
      <x:c r="M106" s="26" t="str">
        <x:v>NOT_APPLICABLE</x:v>
      </x:c>
      <x:c r="N106" s="26" t="str">
        <x:v>Historical stage/package build claims exist; not yet mapped to this exact row. This is not a missing-implementation finding and does not reopen prior closures.</x:v>
      </x:c>
      <x:c r="O106" s="26" t="str">
        <x:v>Map existing exact evidence first; implement only a demonstrated gap, then satisfy this row's closure condition.</x:v>
      </x:c>
      <x:c r="P106" s="26" t="str">
        <x:v>S01, S02, S08, S12, S14 | §19.2</x:v>
      </x:c>
      <x:c r="Q106" s="26" t="str">
        <x:v>https://github.com/sarmadkhan17/Luffy/blob/9385f792f32277bb0b826dba83247b8f5ccf1f8a/SDD.md</x:v>
      </x:c>
    </x:row>
    <x:row r="107" ht="92" customHeight="1">
      <x:c r="A107" s="30" t="str">
        <x:v>MEM-01</x:v>
      </x:c>
      <x:c r="B107" s="26" t="str">
        <x:v>Learning &amp; memory</x:v>
      </x:c>
      <x:c r="C107" s="26" t="str">
        <x:v>BASELINE</x:v>
      </x:c>
      <x:c r="D107" s="26" t="str">
        <x:v>EVIDENCE_TO_MAP</x:v>
      </x:c>
      <x:c r="E107" s="26" t="str">
        <x:v>Maintain raw, episodic, semantic and policy memory with evidence.</x:v>
      </x:c>
      <x:c r="F107" s="26" t="str">
        <x:v>Keeps useful knowledge without conflating observations and doctrine.</x:v>
      </x:c>
      <x:c r="G107" s="26" t="str">
        <x:v>Atomic claims retain status/confidence/support/contradiction/context/review history and structured links across memory classes.</x:v>
      </x:c>
      <x:c r="H107" s="26" t="str">
        <x:v>Ages/confidence updates do not erase failed research or rewrite historical facts.</x:v>
      </x:c>
      <x:c r="I107" s="26" t="str">
        <x:v>Prereqs: RES-05, OUT-03</x:v>
      </x:c>
      <x:c r="J107" s="26" t="str">
        <x:v>Learning &amp; memory owner</x:v>
      </x:c>
      <x:c r="K107" s="26" t="str">
        <x:v>STAGE_LEVEL_HISTORY_ONLY</x:v>
      </x:c>
      <x:c r="L107" s="26" t="str">
        <x:v>NOT_MAPPED</x:v>
      </x:c>
      <x:c r="M107" s="26" t="str">
        <x:v>NOT_APPLICABLE</x:v>
      </x:c>
      <x:c r="N107" s="26" t="str">
        <x:v>Historical stage/package build claims exist; not yet mapped to this exact row. This is not a missing-implementation finding and does not reopen prior closures.</x:v>
      </x:c>
      <x:c r="O107" s="26" t="str">
        <x:v>Map existing exact evidence first; implement only a demonstrated gap, then satisfy this row's closure condition.</x:v>
      </x:c>
      <x:c r="P107" s="26" t="str">
        <x:v>S01, S02, S08, S12, S14 | §20</x:v>
      </x:c>
      <x:c r="Q107" s="26" t="str">
        <x:v>https://github.com/sarmadkhan17/Luffy/blob/9385f792f32277bb0b826dba83247b8f5ccf1f8a/SDD.md</x:v>
      </x:c>
    </x:row>
    <x:row r="108" ht="92" customHeight="1">
      <x:c r="A108" s="30" t="str">
        <x:v>MEM-02</x:v>
      </x:c>
      <x:c r="B108" s="26" t="str">
        <x:v>Learning &amp; memory</x:v>
      </x:c>
      <x:c r="C108" s="26" t="str">
        <x:v>BASELINE</x:v>
      </x:c>
      <x:c r="D108" s="26" t="str">
        <x:v>EVIDENCE_TO_MAP</x:v>
      </x:c>
      <x:c r="E108" s="26" t="str">
        <x:v>Answer exact relationship questions through structured retrieval.</x:v>
      </x:c>
      <x:c r="F108" s="26" t="str">
        <x:v>Prevents semantic guessing replacing an exact stored answer.</x:v>
      </x:c>
      <x:c r="G108" s="26" t="str">
        <x:v>Exact identities and relationship queries return grounded records and missing/not-found distinctions; LLM is secondary.</x:v>
      </x:c>
      <x:c r="H108" s="26" t="str">
        <x:v>A display cap cannot turn an existing ID into not-found; inferred links are not exact proof.</x:v>
      </x:c>
      <x:c r="I108" s="26" t="str">
        <x:v>Prereqs: MEM-01</x:v>
      </x:c>
      <x:c r="J108" s="26" t="str">
        <x:v>Learning &amp; memory owner</x:v>
      </x:c>
      <x:c r="K108" s="26" t="str">
        <x:v>STAGE_LEVEL_HISTORY_ONLY</x:v>
      </x:c>
      <x:c r="L108" s="26" t="str">
        <x:v>NOT_MAPPED</x:v>
      </x:c>
      <x:c r="M108" s="26" t="str">
        <x:v>NOT_APPLICABLE</x:v>
      </x:c>
      <x:c r="N108" s="26" t="str">
        <x:v>Historical stage/package build claims exist; not yet mapped to this exact row. This is not a missing-implementation finding and does not reopen prior closures.</x:v>
      </x:c>
      <x:c r="O108" s="26" t="str">
        <x:v>Map existing exact evidence first; implement only a demonstrated gap, then satisfy this row's closure condition.</x:v>
      </x:c>
      <x:c r="P108" s="26" t="str">
        <x:v>S01, S02, S08, S12, S14 | §20.2</x:v>
      </x:c>
      <x:c r="Q108" s="26" t="str">
        <x:v>https://github.com/sarmadkhan17/Luffy/blob/9385f792f32277bb0b826dba83247b8f5ccf1f8a/SDD.md</x:v>
      </x:c>
    </x:row>
    <x:row r="109" ht="92" customHeight="1">
      <x:c r="A109" s="30" t="str">
        <x:v>LRN-01</x:v>
      </x:c>
      <x:c r="B109" s="26" t="str">
        <x:v>Learning &amp; memory</x:v>
      </x:c>
      <x:c r="C109" s="26" t="str">
        <x:v>BASELINE</x:v>
      </x:c>
      <x:c r="D109" s="26" t="str">
        <x:v>EVIDENCE_TO_MAP</x:v>
      </x:c>
      <x:c r="E109" s="26" t="str">
        <x:v>Produce immutable replay-verified LearningEvidence from actual outcomes.</x:v>
      </x:c>
      <x:c r="F109" s="26" t="str">
        <x:v>Descriptive records alone cannot authorize behavioural adaptation.</x:v>
      </x:c>
      <x:c r="G109" s="26" t="str">
        <x:v>Normal outcome→complete replay→immutable evidence path binds identity/provenance and refuses incomplete evidence.</x:v>
      </x:c>
      <x:c r="H109" s="26" t="str">
        <x:v>No incomplete, unassessable, stale or fabricated outcome becomes authoritative learning.</x:v>
      </x:c>
      <x:c r="I109" s="26" t="str">
        <x:v>Prereqs: OUT-02, OUT-03</x:v>
      </x:c>
      <x:c r="J109" s="26" t="str">
        <x:v>Learning &amp; memory owner</x:v>
      </x:c>
      <x:c r="K109" s="26" t="str">
        <x:v>STAGE_LEVEL_HISTORY_ONLY</x:v>
      </x:c>
      <x:c r="L109" s="26" t="str">
        <x:v>NOT_MAPPED</x:v>
      </x:c>
      <x:c r="M109" s="26" t="str">
        <x:v>NOT_APPLICABLE</x:v>
      </x:c>
      <x:c r="N109" s="26" t="str">
        <x:v>Historical stage/package build claims exist; not yet mapped to this exact row. This is not a missing-implementation finding and does not reopen prior closures.</x:v>
      </x:c>
      <x:c r="O109" s="26" t="str">
        <x:v>Map existing exact evidence first; implement only a demonstrated gap, then satisfy this row's closure condition.</x:v>
      </x:c>
      <x:c r="P109" s="26" t="str">
        <x:v>S01, S02, S08, S12, S14 | §21</x:v>
      </x:c>
      <x:c r="Q109" s="26" t="str">
        <x:v>https://github.com/sarmadkhan17/Luffy/blob/9385f792f32277bb0b826dba83247b8f5ccf1f8a/SDD.md</x:v>
      </x:c>
    </x:row>
    <x:row r="110" ht="92" customHeight="1">
      <x:c r="A110" s="30" t="str">
        <x:v>LRN-02</x:v>
      </x:c>
      <x:c r="B110" s="26" t="str">
        <x:v>Learning &amp; memory</x:v>
      </x:c>
      <x:c r="C110" s="26" t="str">
        <x:v>BASELINE</x:v>
      </x:c>
      <x:c r="D110" s="26" t="str">
        <x:v>EVIDENCE_TO_MAP</x:v>
      </x:c>
      <x:c r="E110" s="26" t="str">
        <x:v>Dispatch only exact registered bounded learning rules.</x:v>
      </x:c>
      <x:c r="F110" s="26" t="str">
        <x:v>An enum of targets is not update authority.</x:v>
      </x:c>
      <x:c r="G110" s="26" t="str">
        <x:v>ID/version/category/context/source eligibility/sufficiency dispatch yields deterministic idempotent proposals and explicit unregistered/no-proposal results.</x:v>
      </x:c>
      <x:c r="H110" s="26" t="str">
        <x:v>Test-only rules cannot load in production; insufficient single wins/losses cannot trigger confidence changes.</x:v>
      </x:c>
      <x:c r="I110" s="26" t="str">
        <x:v>Prereqs: LRN-01</x:v>
      </x:c>
      <x:c r="J110" s="26" t="str">
        <x:v>Learning &amp; memory owner</x:v>
      </x:c>
      <x:c r="K110" s="26" t="str">
        <x:v>STAGE_LEVEL_HISTORY_ONLY</x:v>
      </x:c>
      <x:c r="L110" s="26" t="str">
        <x:v>NOT_MAPPED</x:v>
      </x:c>
      <x:c r="M110" s="26" t="str">
        <x:v>NOT_APPLICABLE</x:v>
      </x:c>
      <x:c r="N110" s="26" t="str">
        <x:v>Historical stage/package build claims exist; not yet mapped to this exact row. This is not a missing-implementation finding and does not reopen prior closures.</x:v>
      </x:c>
      <x:c r="O110" s="26" t="str">
        <x:v>Map existing exact evidence first; implement only a demonstrated gap, then satisfy this row's closure condition.</x:v>
      </x:c>
      <x:c r="P110" s="26" t="str">
        <x:v>S01, S02, S08, S12, S14 | §21</x:v>
      </x:c>
      <x:c r="Q110" s="26" t="str">
        <x:v>https://github.com/sarmadkhan17/Luffy/blob/9385f792f32277bb0b826dba83247b8f5ccf1f8a/SDD.md</x:v>
      </x:c>
    </x:row>
    <x:row r="111" ht="92" customHeight="1">
      <x:c r="A111" s="30" t="str">
        <x:v>LRN-03</x:v>
      </x:c>
      <x:c r="B111" s="26" t="str">
        <x:v>Learning &amp; memory</x:v>
      </x:c>
      <x:c r="C111" s="26" t="str">
        <x:v>BASELINE</x:v>
      </x:c>
      <x:c r="D111" s="26" t="str">
        <x:v>EVIDENCE_TO_MAP</x:v>
      </x:c>
      <x:c r="E111" s="26" t="str">
        <x:v>Apply proposals through owning authorities with atomic conflict-safe receipts.</x:v>
      </x:c>
      <x:c r="F111" s="26" t="str">
        <x:v>Avoids parallel writers and updates based on stale state.</x:v>
      </x:c>
      <x:c r="G111" s="26" t="str">
        <x:v>Each target validates bounds and exact prior state, applies atomically/idempotently or refuses; restart and conflicts preserve history.</x:v>
      </x:c>
      <x:c r="H111" s="26" t="str">
        <x:v>No overwrite on mismatch, Risk expansion, StrategySpec mutation or self-modifying code.</x:v>
      </x:c>
      <x:c r="I111" s="26" t="str">
        <x:v>Prereqs: LRN-02</x:v>
      </x:c>
      <x:c r="J111" s="26" t="str">
        <x:v>Learning &amp; memory owner</x:v>
      </x:c>
      <x:c r="K111" s="26" t="str">
        <x:v>STAGE_LEVEL_HISTORY_ONLY</x:v>
      </x:c>
      <x:c r="L111" s="26" t="str">
        <x:v>NOT_MAPPED</x:v>
      </x:c>
      <x:c r="M111" s="26" t="str">
        <x:v>NOT_APPLICABLE</x:v>
      </x:c>
      <x:c r="N111" s="26" t="str">
        <x:v>Historical stage/package build claims exist; not yet mapped to this exact row. This is not a missing-implementation finding and does not reopen prior closures.</x:v>
      </x:c>
      <x:c r="O111" s="26" t="str">
        <x:v>Map existing exact evidence first; implement only a demonstrated gap, then satisfy this row's closure condition.</x:v>
      </x:c>
      <x:c r="P111" s="26" t="str">
        <x:v>S01, S02, S08, S12, S14 | §§21,35.13</x:v>
      </x:c>
      <x:c r="Q111" s="26" t="str">
        <x:v>https://github.com/sarmadkhan17/Luffy/blob/9385f792f32277bb0b826dba83247b8f5ccf1f8a/SDD.md</x:v>
      </x:c>
    </x:row>
    <x:row r="112" ht="92" customHeight="1">
      <x:c r="A112" s="30" t="str">
        <x:v>LRN-04</x:v>
      </x:c>
      <x:c r="B112" s="26" t="str">
        <x:v>Learning &amp; memory</x:v>
      </x:c>
      <x:c r="C112" s="26" t="str">
        <x:v>BASELINE</x:v>
      </x:c>
      <x:c r="D112" s="26" t="str">
        <x:v>EVIDENCE_TO_MAP</x:v>
      </x:c>
      <x:c r="E112" s="26" t="str">
        <x:v>Connect all permitted learning targets to future normal consumers.</x:v>
      </x:c>
      <x:c r="F112" s="26" t="str">
        <x:v>Stored updates are not learning until behaviour uses them.</x:v>
      </x:c>
      <x:c r="G112" s="26" t="str">
        <x:v>Confidence, allocation, Attention/research priority, evidence weights, WorldModel learning and lifecycle each have owner/writer/normal-consumer proof under approved rules.</x:v>
      </x:c>
      <x:c r="H112" s="26" t="str">
        <x:v>API-only overlays, missing callers and legacy isolated adaptation cannot count as normal loop closure.</x:v>
      </x:c>
      <x:c r="I112" s="26" t="str">
        <x:v>Prereqs: LRN-03, WRLD-06</x:v>
      </x:c>
      <x:c r="J112" s="26" t="str">
        <x:v>Learning &amp; memory owner</x:v>
      </x:c>
      <x:c r="K112" s="26" t="str">
        <x:v>STAGE_LEVEL_HISTORY_ONLY</x:v>
      </x:c>
      <x:c r="L112" s="26" t="str">
        <x:v>NOT_MAPPED</x:v>
      </x:c>
      <x:c r="M112" s="26" t="str">
        <x:v>NOT_APPLICABLE</x:v>
      </x:c>
      <x:c r="N112" s="26" t="str">
        <x:v>Historical stage/package build claims exist; not yet mapped to this exact row. This is not a missing-implementation finding and does not reopen prior closures.</x:v>
      </x:c>
      <x:c r="O112" s="26" t="str">
        <x:v>Map existing exact evidence first; implement only a demonstrated gap, then satisfy this row's closure condition.</x:v>
      </x:c>
      <x:c r="P112" s="26" t="str">
        <x:v>S01, S02, S08, S12, S14 | §§21,30 Stage 7,33.8</x:v>
      </x:c>
      <x:c r="Q112" s="26" t="str">
        <x:v>https://github.com/sarmadkhan17/Luffy/blob/9385f792f32277bb0b826dba83247b8f5ccf1f8a/SDD.md</x:v>
      </x:c>
    </x:row>
    <x:row r="113" ht="92" customHeight="1">
      <x:c r="A113" s="30" t="str">
        <x:v>LRN-05</x:v>
      </x:c>
      <x:c r="B113" s="26" t="str">
        <x:v>Learning &amp; memory</x:v>
      </x:c>
      <x:c r="C113" s="26" t="str">
        <x:v>BASELINE</x:v>
      </x:c>
      <x:c r="D113" s="26" t="str">
        <x:v>EVIDENCE_TO_MAP</x:v>
      </x:c>
      <x:c r="E113" s="26" t="str">
        <x:v>Calibrate and approve production adaptive policies separately from adapters.</x:v>
      </x:c>
      <x:c r="F113" s="26" t="str">
        <x:v>Infrastructure tests do not create safe profitable production rules.</x:v>
      </x:c>
      <x:c r="G113" s="26" t="str">
        <x:v>Each adopted policy has predeclared evidence/sufficiency/bounds and quantitative validation, then prospective owner-consumer proof.</x:v>
      </x:c>
      <x:c r="H113" s="26" t="str">
        <x:v>Empty registry is POLICY_NOT_CONFIGURED, not implied readiness; no arbitrary learned thresholds.</x:v>
      </x:c>
      <x:c r="I113" s="26" t="str">
        <x:v>Prereqs: LRN-04, QNT-08</x:v>
      </x:c>
      <x:c r="J113" s="26" t="str">
        <x:v>Learning &amp; memory owner</x:v>
      </x:c>
      <x:c r="K113" s="26" t="str">
        <x:v>STAGE_LEVEL_HISTORY_ONLY</x:v>
      </x:c>
      <x:c r="L113" s="26" t="str">
        <x:v>NOT_MAPPED</x:v>
      </x:c>
      <x:c r="M113" s="26" t="str">
        <x:v>NOT_APPLICABLE</x:v>
      </x:c>
      <x:c r="N113" s="26" t="str">
        <x:v>Historical stage/package build claims exist; not yet mapped to this exact row. This is not a missing-implementation finding and does not reopen prior closures.</x:v>
      </x:c>
      <x:c r="O113" s="26" t="str">
        <x:v>Map existing exact evidence first; implement only a demonstrated gap, then satisfy this row's closure condition.</x:v>
      </x:c>
      <x:c r="P113" s="26" t="str">
        <x:v>S01, S02, S08, S12, S14 | §21</x:v>
      </x:c>
      <x:c r="Q113" s="26" t="str">
        <x:v>https://github.com/sarmadkhan17/Luffy/blob/9385f792f32277bb0b826dba83247b8f5ccf1f8a/SDD.md</x:v>
      </x:c>
    </x:row>
    <x:row r="114" ht="92" customHeight="1">
      <x:c r="A114" s="30" t="str">
        <x:v>LRN-06</x:v>
      </x:c>
      <x:c r="B114" s="26" t="str">
        <x:v>Learning &amp; memory</x:v>
      </x:c>
      <x:c r="C114" s="26" t="str">
        <x:v>BASELINE</x:v>
      </x:c>
      <x:c r="D114" s="26" t="str">
        <x:v>EVIDENCE_TO_MAP</x:v>
      </x:c>
      <x:c r="E114" s="26" t="str">
        <x:v>Demonstrate bounded changed behaviour on independent prospective evidence.</x:v>
      </x:c>
      <x:c r="F114" s="26" t="str">
        <x:v>The product exit requires learning effects, not only tests.</x:v>
      </x:c>
      <x:c r="G114" s="26" t="str">
        <x:v>A real supported evidence chain produces an eligible update whose attributable later normal behaviour differs within bounds; unavailable rules remain explicit.</x:v>
      </x:c>
      <x:c r="H114" s="26" t="str">
        <x:v>No forced update, synthetic evidence presented as real, future information leak or causal claim from one outcome.</x:v>
      </x:c>
      <x:c r="I114" s="26" t="str">
        <x:v>Prereqs: LRN-05, OUT-03</x:v>
      </x:c>
      <x:c r="J114" s="26" t="str">
        <x:v>Learning &amp; memory owner</x:v>
      </x:c>
      <x:c r="K114" s="26" t="str">
        <x:v>STAGE_LEVEL_HISTORY_ONLY</x:v>
      </x:c>
      <x:c r="L114" s="26" t="str">
        <x:v>NOT_MAPPED</x:v>
      </x:c>
      <x:c r="M114" s="26" t="str">
        <x:v>NOT_APPLICABLE</x:v>
      </x:c>
      <x:c r="N114" s="26" t="str">
        <x:v>Historical stage/package build claims exist; not yet mapped to this exact row. This is not a missing-implementation finding and does not reopen prior closures.</x:v>
      </x:c>
      <x:c r="O114" s="26" t="str">
        <x:v>Map existing exact evidence first; implement only a demonstrated gap, then satisfy this row's closure condition.</x:v>
      </x:c>
      <x:c r="P114" s="26" t="str">
        <x:v>S01, S02, S08, S12, S14 | §§30 Stage 7,33.8</x:v>
      </x:c>
      <x:c r="Q114" s="26" t="str">
        <x:v>https://github.com/sarmadkhan17/Luffy/blob/9385f792f32277bb0b826dba83247b8f5ccf1f8a/SDD.md</x:v>
      </x:c>
    </x:row>
    <x:row r="115" ht="92" customHeight="1">
      <x:c r="A115" s="30" t="str">
        <x:v>LLM-01</x:v>
      </x:c>
      <x:c r="B115" s="26" t="str">
        <x:v>Provider &amp; access</x:v>
      </x:c>
      <x:c r="C115" s="26" t="str">
        <x:v>BASELINE</x:v>
      </x:c>
      <x:c r="D115" s="26" t="str">
        <x:v>EVIDENCE_TO_MAP</x:v>
      </x:c>
      <x:c r="E115" s="26" t="str">
        <x:v>Keep normal trading and safety independent of LLMs.</x:v>
      </x:c>
      <x:c r="F115" s="26" t="str">
        <x:v>Provider outage/cost must not determine exposure safety.</x:v>
      </x:c>
      <x:c r="G115" s="26" t="str">
        <x:v>Live observation/Decision/Portfolio/Risk/Execution do not invoke LLMs; missing provider still permits required safety work.</x:v>
      </x:c>
      <x:c r="H115" s="26" t="str">
        <x:v>No LLM order placement, arithmetic/routine monitoring or hidden shell/database authority.</x:v>
      </x:c>
      <x:c r="I115" s="26" t="str">
        <x:v>Prereqs: RISK-01</x:v>
      </x:c>
      <x:c r="J115" s="26" t="str">
        <x:v>Provider &amp; access owner</x:v>
      </x:c>
      <x:c r="K115" s="26" t="str">
        <x:v>STAGE_LEVEL_HISTORY_ONLY</x:v>
      </x:c>
      <x:c r="L115" s="26" t="str">
        <x:v>NOT_MAPPED</x:v>
      </x:c>
      <x:c r="M115" s="26" t="str">
        <x:v>NOT_APPLICABLE</x:v>
      </x:c>
      <x:c r="N115" s="26" t="str">
        <x:v>Historical stage/package build claims exist; not yet mapped to this exact row. This is not a missing-implementation finding and does not reopen prior closures.</x:v>
      </x:c>
      <x:c r="O115" s="26" t="str">
        <x:v>Map existing exact evidence first; implement only a demonstrated gap, then satisfy this row's closure condition.</x:v>
      </x:c>
      <x:c r="P115" s="26" t="str">
        <x:v>S01, S02, S08, S13 | §§4.2,22.1–22.3</x:v>
      </x:c>
      <x:c r="Q115" s="26" t="str">
        <x:v>https://github.com/sarmadkhan17/Luffy/blob/9385f792f32277bb0b826dba83247b8f5ccf1f8a/SDD.md</x:v>
      </x:c>
    </x:row>
    <x:row r="116" ht="92" customHeight="1">
      <x:c r="A116" s="30" t="str">
        <x:v>LLM-02</x:v>
      </x:c>
      <x:c r="B116" s="26" t="str">
        <x:v>Provider &amp; access</x:v>
      </x:c>
      <x:c r="C116" s="26" t="str">
        <x:v>BASELINE</x:v>
      </x:c>
      <x:c r="D116" s="26" t="str">
        <x:v>EVIDENCE_TO_MAP</x:v>
      </x:c>
      <x:c r="E116" s="26" t="str">
        <x:v>Enforce disabled provider state at shared request admission.</x:v>
      </x:c>
      <x:c r="F116" s="26" t="str">
        <x:v>Credentials/budget cannot override an explicit off switch.</x:v>
      </x:c>
      <x:c r="G116" s="26" t="str">
        <x:v>chat/chat_tools/chat_json and actual background callers make zero provider attempts when disabled, with fixtures and prospective telemetry.</x:v>
      </x:c>
      <x:c r="H116" s="26" t="str">
        <x:v>Positive budget/key or fallback cannot bypass brain.enabled=false.</x:v>
      </x:c>
      <x:c r="I116" s="26" t="str">
        <x:v>Prereqs: —</x:v>
      </x:c>
      <x:c r="J116" s="26" t="str">
        <x:v>Provider &amp; access owner</x:v>
      </x:c>
      <x:c r="K116" s="26" t="str">
        <x:v>STAGE_LEVEL_HISTORY_ONLY</x:v>
      </x:c>
      <x:c r="L116" s="26" t="str">
        <x:v>NOT_MAPPED</x:v>
      </x:c>
      <x:c r="M116" s="26" t="str">
        <x:v>NOT_APPLICABLE</x:v>
      </x:c>
      <x:c r="N116" s="26" t="str">
        <x:v>Historical stage/package build claims exist; not yet mapped to this exact row. This is not a missing-implementation finding and does not reopen prior closures.</x:v>
      </x:c>
      <x:c r="O116" s="26" t="str">
        <x:v>Map existing exact evidence first; implement only a demonstrated gap, then satisfy this row's closure condition.</x:v>
      </x:c>
      <x:c r="P116" s="26" t="str">
        <x:v>S01, S02, S08, S13 | §§22.3–22.5; incident S13</x:v>
      </x:c>
      <x:c r="Q116" s="26" t="str">
        <x:v>https://github.com/sarmadkhan17/Luffy/blob/9385f792f32277bb0b826dba83247b8f5ccf1f8a/SDD.md</x:v>
      </x:c>
    </x:row>
    <x:row r="117" ht="92" customHeight="1">
      <x:c r="A117" s="30" t="str">
        <x:v>LLM-03</x:v>
      </x:c>
      <x:c r="B117" s="26" t="str">
        <x:v>Provider &amp; access</x:v>
      </x:c>
      <x:c r="C117" s="26" t="str">
        <x:v>BASELINE</x:v>
      </x:c>
      <x:c r="D117" s="26" t="str">
        <x:v>EVIDENCE_TO_MAP</x:v>
      </x:c>
      <x:c r="E117" s="26" t="str">
        <x:v>Reserve bounded per-purpose budget and settle actual/unknown usage.</x:v>
      </x:c>
      <x:c r="F117" s="26" t="str">
        <x:v>Prevents overshoot and invented free calls after failures.</x:v>
      </x:c>
      <x:c r="G117" s="26" t="str">
        <x:v>Concurrent/retried calls reserve input/output before dispatch, isolate purpose budgets, settle actual usage and retain unknown reservations.</x:v>
      </x:c>
      <x:c r="H117" s="26" t="str">
        <x:v>A one-token allowance cannot authorize thousands; reset/restart cannot reset spent budget.</x:v>
      </x:c>
      <x:c r="I117" s="26" t="str">
        <x:v>Prereqs: LLM-02</x:v>
      </x:c>
      <x:c r="J117" s="26" t="str">
        <x:v>Provider &amp; access owner</x:v>
      </x:c>
      <x:c r="K117" s="26" t="str">
        <x:v>STAGE_LEVEL_HISTORY_ONLY</x:v>
      </x:c>
      <x:c r="L117" s="26" t="str">
        <x:v>NOT_MAPPED</x:v>
      </x:c>
      <x:c r="M117" s="26" t="str">
        <x:v>NOT_APPLICABLE</x:v>
      </x:c>
      <x:c r="N117" s="26" t="str">
        <x:v>Historical stage/package build claims exist; not yet mapped to this exact row. This is not a missing-implementation finding and does not reopen prior closures.</x:v>
      </x:c>
      <x:c r="O117" s="26" t="str">
        <x:v>Map existing exact evidence first; implement only a demonstrated gap, then satisfy this row's closure condition.</x:v>
      </x:c>
      <x:c r="P117" s="26" t="str">
        <x:v>S01, S02, S08, S13 | §§12.5,22.4</x:v>
      </x:c>
      <x:c r="Q117" s="26" t="str">
        <x:v>https://github.com/sarmadkhan17/Luffy/blob/9385f792f32277bb0b826dba83247b8f5ccf1f8a/SDD.md</x:v>
      </x:c>
    </x:row>
    <x:row r="118" ht="92" customHeight="1">
      <x:c r="A118" s="30" t="str">
        <x:v>LLM-04</x:v>
      </x:c>
      <x:c r="B118" s="26" t="str">
        <x:v>Provider &amp; access</x:v>
      </x:c>
      <x:c r="C118" s="26" t="str">
        <x:v>BASELINE</x:v>
      </x:c>
      <x:c r="D118" s="26" t="str">
        <x:v>EVIDENCE_TO_MAP</x:v>
      </x:c>
      <x:c r="E118" s="26" t="str">
        <x:v>Attribute provider calls, token usage and verified costs.</x:v>
      </x:c>
      <x:c r="F118" s="26" t="str">
        <x:v>The owner must know which work consumed paid resources.</x:v>
      </x:c>
      <x:c r="G118" s="26" t="str">
        <x:v>Each attempted/failed/unknown call records caller/task/run/model/prompt version and usage; pricing/billing evidence determines monetary truth.</x:v>
      </x:c>
      <x:c r="H118" s="26" t="str">
        <x:v>No API-key logging, payload sprawl, unverified exact charge or unlogged fallback.</x:v>
      </x:c>
      <x:c r="I118" s="26" t="str">
        <x:v>Prereqs: LLM-03, MON-05</x:v>
      </x:c>
      <x:c r="J118" s="26" t="str">
        <x:v>Provider &amp; access owner</x:v>
      </x:c>
      <x:c r="K118" s="26" t="str">
        <x:v>STAGE_LEVEL_HISTORY_ONLY</x:v>
      </x:c>
      <x:c r="L118" s="26" t="str">
        <x:v>NOT_MAPPED</x:v>
      </x:c>
      <x:c r="M118" s="26" t="str">
        <x:v>NOT_APPLICABLE</x:v>
      </x:c>
      <x:c r="N118" s="26" t="str">
        <x:v>Historical stage/package build claims exist; not yet mapped to this exact row. This is not a missing-implementation finding and does not reopen prior closures.</x:v>
      </x:c>
      <x:c r="O118" s="26" t="str">
        <x:v>Map existing exact evidence first; implement only a demonstrated gap, then satisfy this row's closure condition.</x:v>
      </x:c>
      <x:c r="P118" s="26" t="str">
        <x:v>S01, S02, S08, S13 | §§2.7,22.4,25</x:v>
      </x:c>
      <x:c r="Q118" s="26" t="str">
        <x:v>https://github.com/sarmadkhan17/Luffy/blob/9385f792f32277bb0b826dba83247b8f5ccf1f8a/SDD.md</x:v>
      </x:c>
    </x:row>
    <x:row r="119" ht="92" customHeight="1">
      <x:c r="A119" s="30" t="str">
        <x:v>SEC-01</x:v>
      </x:c>
      <x:c r="B119" s="26" t="str">
        <x:v>Provider &amp; access</x:v>
      </x:c>
      <x:c r="C119" s="26" t="str">
        <x:v>BASELINE</x:v>
      </x:c>
      <x:c r="D119" s="26" t="str">
        <x:v>EVIDENCE_TO_MAP</x:v>
      </x:c>
      <x:c r="E119" s="26" t="str">
        <x:v>Keep credentials outside repository with least-privilege access.</x:v>
      </x:c>
      <x:c r="F119" s="26" t="str">
        <x:v>A UI/research compromise must not expose venue capability.</x:v>
      </x:c>
      <x:c r="G119" s="26" t="str">
        <x:v>Verified credential locations/scopes, account mode and privileged boundaries match the accepted deployment scope; migration gaps are explicit.</x:v>
      </x:c>
      <x:c r="H119" s="26" t="str">
        <x:v>No secrets in Git, logs, backups, browser/remote gateway or unrestricted LLM tool.</x:v>
      </x:c>
      <x:c r="I119" s="26" t="str">
        <x:v>Prereqs: GOV-07</x:v>
      </x:c>
      <x:c r="J119" s="26" t="str">
        <x:v>Provider &amp; access owner</x:v>
      </x:c>
      <x:c r="K119" s="26" t="str">
        <x:v>STAGE_LEVEL_HISTORY_ONLY</x:v>
      </x:c>
      <x:c r="L119" s="26" t="str">
        <x:v>NOT_MAPPED</x:v>
      </x:c>
      <x:c r="M119" s="26" t="str">
        <x:v>NOT_APPLICABLE</x:v>
      </x:c>
      <x:c r="N119" s="26" t="str">
        <x:v>Historical stage/package build claims exist; not yet mapped to this exact row. This is not a missing-implementation finding and does not reopen prior closures.</x:v>
      </x:c>
      <x:c r="O119" s="26" t="str">
        <x:v>Map existing exact evidence first; implement only a demonstrated gap, then satisfy this row's closure condition.</x:v>
      </x:c>
      <x:c r="P119" s="26" t="str">
        <x:v>S01, S02, S08, S13 | §26</x:v>
      </x:c>
      <x:c r="Q119" s="26" t="str">
        <x:v>https://github.com/sarmadkhan17/Luffy/blob/9385f792f32277bb0b826dba83247b8f5ccf1f8a/SDD.md</x:v>
      </x:c>
    </x:row>
    <x:row r="120" ht="92" customHeight="1">
      <x:c r="A120" s="30" t="str">
        <x:v>SEC-02</x:v>
      </x:c>
      <x:c r="B120" s="26" t="str">
        <x:v>Provider &amp; access</x:v>
      </x:c>
      <x:c r="C120" s="26" t="str">
        <x:v>BASELINE</x:v>
      </x:c>
      <x:c r="D120" s="26" t="str">
        <x:v>EVIDENCE_TO_MAP</x:v>
      </x:c>
      <x:c r="E120" s="26" t="str">
        <x:v>Authenticate owner commands and separate browser/gateway from trading truth.</x:v>
      </x:c>
      <x:c r="F120" s="26" t="str">
        <x:v>Only typed authorized requests may affect control.</x:v>
      </x:c>
      <x:c r="G120" s="26" t="str">
        <x:v>Session/principal/scope and audit checks route all UI/chat/gateway commands through Owner Interface with no direct venue writes.</x:v>
      </x:c>
      <x:c r="H120" s="26" t="str">
        <x:v>Unauthorized, replayed, stale or altered request cannot bypass governing authority.</x:v>
      </x:c>
      <x:c r="I120" s="26" t="str">
        <x:v>Prereqs: OWN-02</x:v>
      </x:c>
      <x:c r="J120" s="26" t="str">
        <x:v>Provider &amp; access owner</x:v>
      </x:c>
      <x:c r="K120" s="26" t="str">
        <x:v>STAGE_LEVEL_HISTORY_ONLY</x:v>
      </x:c>
      <x:c r="L120" s="26" t="str">
        <x:v>NOT_MAPPED</x:v>
      </x:c>
      <x:c r="M120" s="26" t="str">
        <x:v>NOT_APPLICABLE</x:v>
      </x:c>
      <x:c r="N120" s="26" t="str">
        <x:v>Historical stage/package build claims exist; not yet mapped to this exact row. This is not a missing-implementation finding and does not reopen prior closures.</x:v>
      </x:c>
      <x:c r="O120" s="26" t="str">
        <x:v>Map existing exact evidence first; implement only a demonstrated gap, then satisfy this row's closure condition.</x:v>
      </x:c>
      <x:c r="P120" s="26" t="str">
        <x:v>S01, S02, S08, S13 | §§23.5,26,35.14</x:v>
      </x:c>
      <x:c r="Q120" s="26" t="str">
        <x:v>https://github.com/sarmadkhan17/Luffy/blob/9385f792f32277bb0b826dba83247b8f5ccf1f8a/SDD.md</x:v>
      </x:c>
    </x:row>
    <x:row r="121" ht="92" customHeight="1">
      <x:c r="A121" s="30" t="str">
        <x:v>SEC-03</x:v>
      </x:c>
      <x:c r="B121" s="26" t="str">
        <x:v>Provider &amp; access</x:v>
      </x:c>
      <x:c r="C121" s="26" t="str">
        <x:v>BASELINE</x:v>
      </x:c>
      <x:c r="D121" s="26" t="str">
        <x:v>EVIDENCE_TO_MAP</x:v>
      </x:c>
      <x:c r="E121" s="26" t="str">
        <x:v>Treat retrieved code and external content as untrusted.</x:v>
      </x:c>
      <x:c r="F121" s="26" t="str">
        <x:v>Research data is not an instruction to execute code or spend.</x:v>
      </x:c>
      <x:c r="G121" s="26" t="str">
        <x:v>External text/tools remain sandboxed within approved source/access classes; destructive work needs explicit typed authorization.</x:v>
      </x:c>
      <x:c r="H121" s="26" t="str">
        <x:v>Injected instructions cannot alter Risk, invoke shell, reveal keys or place orders.</x:v>
      </x:c>
      <x:c r="I121" s="26" t="str">
        <x:v>Prereqs: RES-03, SEC-01</x:v>
      </x:c>
      <x:c r="J121" s="26" t="str">
        <x:v>Provider &amp; access owner</x:v>
      </x:c>
      <x:c r="K121" s="26" t="str">
        <x:v>STAGE_LEVEL_HISTORY_ONLY</x:v>
      </x:c>
      <x:c r="L121" s="26" t="str">
        <x:v>NOT_MAPPED</x:v>
      </x:c>
      <x:c r="M121" s="26" t="str">
        <x:v>NOT_APPLICABLE</x:v>
      </x:c>
      <x:c r="N121" s="26" t="str">
        <x:v>Historical stage/package build claims exist; not yet mapped to this exact row. This is not a missing-implementation finding and does not reopen prior closures.</x:v>
      </x:c>
      <x:c r="O121" s="26" t="str">
        <x:v>Map existing exact evidence first; implement only a demonstrated gap, then satisfy this row's closure condition.</x:v>
      </x:c>
      <x:c r="P121" s="26" t="str">
        <x:v>S01, S02, S08, S13 | §26</x:v>
      </x:c>
      <x:c r="Q121" s="26" t="str">
        <x:v>https://github.com/sarmadkhan17/Luffy/blob/9385f792f32277bb0b826dba83247b8f5ccf1f8a/SDD.md</x:v>
      </x:c>
    </x:row>
    <x:row r="122" ht="92" customHeight="1">
      <x:c r="A122" s="30" t="str">
        <x:v>SEC-04</x:v>
      </x:c>
      <x:c r="B122" s="26" t="str">
        <x:v>Provider &amp; access</x:v>
      </x:c>
      <x:c r="C122" s="26" t="str">
        <x:v>BASELINE</x:v>
      </x:c>
      <x:c r="D122" s="26" t="str">
        <x:v>EVIDENCE_TO_MAP</x:v>
      </x:c>
      <x:c r="E122" s="26" t="str">
        <x:v>Track accepted V1 security limitations and hardening separately.</x:v>
      </x:c>
      <x:c r="F122" s="26" t="str">
        <x:v>Neither institutional redesign nor hidden gaps should block honest status.</x:v>
      </x:c>
      <x:c r="G122" s="26" t="str">
        <x:v>Same-UID/process-secret isolation, session revocation and gateway limitations have scoped evidence, owner acceptance and release implications.</x:v>
      </x:c>
      <x:c r="H122" s="26" t="str">
        <x:v>Accepted limitation is not relabelled proven isolation; optional hardening is not silently a new baseline requirement.</x:v>
      </x:c>
      <x:c r="I122" s="26" t="str">
        <x:v>Prereqs: SEC-01, SEC-02</x:v>
      </x:c>
      <x:c r="J122" s="26" t="str">
        <x:v>Provider &amp; access owner</x:v>
      </x:c>
      <x:c r="K122" s="26" t="str">
        <x:v>STAGE_LEVEL_HISTORY_ONLY</x:v>
      </x:c>
      <x:c r="L122" s="26" t="str">
        <x:v>NOT_MAPPED</x:v>
      </x:c>
      <x:c r="M122" s="26" t="str">
        <x:v>NOT_APPLICABLE</x:v>
      </x:c>
      <x:c r="N122" s="26" t="str">
        <x:v>Historical stage/package build claims exist; not yet mapped to this exact row. This is not a missing-implementation finding and does not reopen prior closures.</x:v>
      </x:c>
      <x:c r="O122" s="26" t="str">
        <x:v>Map existing exact evidence first; implement only a demonstrated gap, then satisfy this row's closure condition.</x:v>
      </x:c>
      <x:c r="P122" s="26" t="str">
        <x:v>S01, S02, S08, S13 | §26; S02 limitation record</x:v>
      </x:c>
      <x:c r="Q122" s="26" t="str">
        <x:v>https://github.com/sarmadkhan17/Luffy/blob/9385f792f32277bb0b826dba83247b8f5ccf1f8a/SDD.md</x:v>
      </x:c>
    </x:row>
    <x:row r="123" ht="92" customHeight="1">
      <x:c r="A123" s="30" t="str">
        <x:v>OWN-01</x:v>
      </x:c>
      <x:c r="B123" s="26" t="str">
        <x:v>Owner interface</x:v>
      </x:c>
      <x:c r="C123" s="26" t="str">
        <x:v>BASELINE</x:v>
      </x:c>
      <x:c r="D123" s="26" t="str">
        <x:v>EVIDENCE_TO_MAP</x:v>
      </x:c>
      <x:c r="E123" s="26" t="str">
        <x:v>Answer important owner questions from exact typed evidence.</x:v>
      </x:c>
      <x:c r="F123" s="26" t="str">
        <x:v>The owner needs to understand actions, uncertainty and blockers.</x:v>
      </x:c>
      <x:c r="G123" s="26" t="str">
        <x:v>Why enter/not enter, size/reduction, research, contradictions, decay, exposure, costs and approvals resolve to exact records with explicit unknowns.</x:v>
      </x:c>
      <x:c r="H123" s="26" t="str">
        <x:v>No narrative invented when a source is absent; display limits do not hide existence.</x:v>
      </x:c>
      <x:c r="I123" s="26" t="str">
        <x:v>Prereqs: OUT-03, MEM-02</x:v>
      </x:c>
      <x:c r="J123" s="26" t="str">
        <x:v>Owner interface owner</x:v>
      </x:c>
      <x:c r="K123" s="26" t="str">
        <x:v>STAGE_LEVEL_HISTORY_ONLY</x:v>
      </x:c>
      <x:c r="L123" s="26" t="str">
        <x:v>NOT_MAPPED</x:v>
      </x:c>
      <x:c r="M123" s="26" t="str">
        <x:v>NOT_APPLICABLE</x:v>
      </x:c>
      <x:c r="N123" s="26" t="str">
        <x:v>Historical stage/package build claims exist; not yet mapped to this exact row. This is not a missing-implementation finding and does not reopen prior closures.</x:v>
      </x:c>
      <x:c r="O123" s="26" t="str">
        <x:v>Map existing exact evidence first; implement only a demonstrated gap, then satisfy this row's closure condition.</x:v>
      </x:c>
      <x:c r="P123" s="26" t="str">
        <x:v>S01, S02, S10, S14 | §25</x:v>
      </x:c>
      <x:c r="Q123" s="26" t="str">
        <x:v>https://github.com/sarmadkhan17/Luffy/blob/9385f792f32277bb0b826dba83247b8f5ccf1f8a/SDD.md</x:v>
      </x:c>
    </x:row>
    <x:row r="124" ht="92" customHeight="1">
      <x:c r="A124" s="30" t="str">
        <x:v>OWN-02</x:v>
      </x:c>
      <x:c r="B124" s="26" t="str">
        <x:v>Owner interface</x:v>
      </x:c>
      <x:c r="C124" s="26" t="str">
        <x:v>BASELINE</x:v>
      </x:c>
      <x:c r="D124" s="26" t="str">
        <x:v>EVIDENCE_TO_MAP</x:v>
      </x:c>
      <x:c r="E124" s="26" t="str">
        <x:v>Route all owner approvals and controls through one typed authority.</x:v>
      </x:c>
      <x:c r="F124" s="26" t="str">
        <x:v>Owner UI is a control surface, not independent execution logic.</x:v>
      </x:c>
      <x:c r="G124" s="26" t="str">
        <x:v>Needs You, dashboard/chat and optional gateway authenticate actor/scope and exact request/version/hash; accepted/refused/completed outcomes are distinct.</x:v>
      </x:c>
      <x:c r="H124" s="26" t="str">
        <x:v>Duplicate/stale/replayed approval cannot expand scope or bypass Risk/Governor.</x:v>
      </x:c>
      <x:c r="I124" s="26" t="str">
        <x:v>Prereqs: GOV-07</x:v>
      </x:c>
      <x:c r="J124" s="26" t="str">
        <x:v>Owner interface owner</x:v>
      </x:c>
      <x:c r="K124" s="26" t="str">
        <x:v>STAGE_LEVEL_HISTORY_ONLY</x:v>
      </x:c>
      <x:c r="L124" s="26" t="str">
        <x:v>NOT_MAPPED</x:v>
      </x:c>
      <x:c r="M124" s="26" t="str">
        <x:v>NOT_APPLICABLE</x:v>
      </x:c>
      <x:c r="N124" s="26" t="str">
        <x:v>Historical stage/package build claims exist; not yet mapped to this exact row. This is not a missing-implementation finding and does not reopen prior closures.</x:v>
      </x:c>
      <x:c r="O124" s="26" t="str">
        <x:v>Map existing exact evidence first; implement only a demonstrated gap, then satisfy this row's closure condition.</x:v>
      </x:c>
      <x:c r="P124" s="26" t="str">
        <x:v>S01, S02, S10, S14 | §§25.4,35.14</x:v>
      </x:c>
      <x:c r="Q124" s="26" t="str">
        <x:v>https://github.com/sarmadkhan17/Luffy/blob/9385f792f32277bb0b826dba83247b8f5ccf1f8a/SDD.md</x:v>
      </x:c>
    </x:row>
    <x:row r="125" ht="92" customHeight="1">
      <x:c r="A125" s="30" t="str">
        <x:v>OWN-03</x:v>
      </x:c>
      <x:c r="B125" s="26" t="str">
        <x:v>Owner interface</x:v>
      </x:c>
      <x:c r="C125" s="26" t="str">
        <x:v>BASELINE</x:v>
      </x:c>
      <x:c r="D125" s="26" t="str">
        <x:v>EVIDENCE_TO_MAP</x:v>
      </x:c>
      <x:c r="E125" s="26" t="str">
        <x:v>Surface approval-required actions without requesting approval for ordinary autonomy.</x:v>
      </x:c>
      <x:c r="F125" s="26" t="str">
        <x:v>Avoids both unsafe activation and constant permission loops.</x:v>
      </x:c>
      <x:c r="G125" s="26" t="str">
        <x:v>First-live, new scope/access/spend, hard limits, serious recovery and architecture changes surface; ordinary approved decisions remain autonomous.</x:v>
      </x:c>
      <x:c r="H125" s="26" t="str">
        <x:v>A no-trade/research question does not require new blanket approval; first-live stays gated.</x:v>
      </x:c>
      <x:c r="I125" s="26" t="str">
        <x:v>Prereqs: OWN-02</x:v>
      </x:c>
      <x:c r="J125" s="26" t="str">
        <x:v>Owner interface owner</x:v>
      </x:c>
      <x:c r="K125" s="26" t="str">
        <x:v>STAGE_LEVEL_HISTORY_ONLY</x:v>
      </x:c>
      <x:c r="L125" s="26" t="str">
        <x:v>NOT_MAPPED</x:v>
      </x:c>
      <x:c r="M125" s="26" t="str">
        <x:v>NOT_APPLICABLE</x:v>
      </x:c>
      <x:c r="N125" s="26" t="str">
        <x:v>Historical stage/package build claims exist; not yet mapped to this exact row. This is not a missing-implementation finding and does not reopen prior closures.</x:v>
      </x:c>
      <x:c r="O125" s="26" t="str">
        <x:v>Map existing exact evidence first; implement only a demonstrated gap, then satisfy this row's closure condition.</x:v>
      </x:c>
      <x:c r="P125" s="26" t="str">
        <x:v>S01, S02, S10, S14 | §§2.4,25.4</x:v>
      </x:c>
      <x:c r="Q125" s="26" t="str">
        <x:v>https://github.com/sarmadkhan17/Luffy/blob/9385f792f32277bb0b826dba83247b8f5ccf1f8a/SDD.md</x:v>
      </x:c>
    </x:row>
    <x:row r="126" ht="92" customHeight="1">
      <x:c r="A126" s="30" t="str">
        <x:v>OWN-04</x:v>
      </x:c>
      <x:c r="B126" s="26" t="str">
        <x:v>Owner interface</x:v>
      </x:c>
      <x:c r="C126" s="26" t="str">
        <x:v>BASELINE</x:v>
      </x:c>
      <x:c r="D126" s="26" t="str">
        <x:v>EVIDENCE_TO_MAP</x:v>
      </x:c>
      <x:c r="E126" s="26" t="str">
        <x:v>Report declared versus observed system state honestly.</x:v>
      </x:c>
      <x:c r="F126" s="26" t="str">
        <x:v>An architecture diagram or stored ACTIVE value is not runtime truth.</x:v>
      </x:c>
      <x:c r="G126" s="26" t="str">
        <x:v>Current processes, source age, observed work, control and unavailable telemetry are distinct from configured/declared state.</x:v>
      </x:c>
      <x:c r="H126" s="26" t="str">
        <x:v>Stopped, waiting, failed or intentionally disabled workers cannot display active fabricated activity.</x:v>
      </x:c>
      <x:c r="I126" s="26" t="str">
        <x:v>Prereqs: MON-01, MON-05</x:v>
      </x:c>
      <x:c r="J126" s="26" t="str">
        <x:v>Owner interface owner</x:v>
      </x:c>
      <x:c r="K126" s="26" t="str">
        <x:v>STAGE_LEVEL_HISTORY_ONLY</x:v>
      </x:c>
      <x:c r="L126" s="26" t="str">
        <x:v>NOT_MAPPED</x:v>
      </x:c>
      <x:c r="M126" s="26" t="str">
        <x:v>NOT_APPLICABLE</x:v>
      </x:c>
      <x:c r="N126" s="26" t="str">
        <x:v>Historical stage/package build claims exist; not yet mapped to this exact row. This is not a missing-implementation finding and does not reopen prior closures.</x:v>
      </x:c>
      <x:c r="O126" s="26" t="str">
        <x:v>Map existing exact evidence first; implement only a demonstrated gap, then satisfy this row's closure condition.</x:v>
      </x:c>
      <x:c r="P126" s="26" t="str">
        <x:v>S01, S02, S10, S14 | §25.3</x:v>
      </x:c>
      <x:c r="Q126" s="26" t="str">
        <x:v>https://github.com/sarmadkhan17/Luffy/blob/9385f792f32277bb0b826dba83247b8f5ccf1f8a/SDD.md</x:v>
      </x:c>
    </x:row>
    <x:row r="127" ht="92" customHeight="1">
      <x:c r="A127" s="30" t="str">
        <x:v>GUI-01</x:v>
      </x:c>
      <x:c r="B127" s="26" t="str">
        <x:v>Dashboard GUI</x:v>
      </x:c>
      <x:c r="C127" s="26" t="str">
        <x:v>BASELINE</x:v>
      </x:c>
      <x:c r="D127" s="26" t="str">
        <x:v>AWAITING_EVIDENCE</x:v>
      </x:c>
      <x:c r="E127" s="26" t="str">
        <x:v>Overview: Account/equity/P&amp;L, exposure, current control, global signals and Needs You.</x:v>
      </x:c>
      <x:c r="F127" s="26" t="str">
        <x:v>The first screen must make status and required owner action understandable.</x:v>
      </x:c>
      <x:c r="G127" s="26" t="str">
        <x:v>Observed figures have source/freshness/quality, unavailable values stay unknown, and Needs You opens the exact evidence/action. Functional and runtime proof are separate from owner visual approval.</x:v>
      </x:c>
      <x:c r="H127" s="26" t="str">
        <x:v>Stale, disconnected, zero/unknown and pending approval are distinct; no fake live values.</x:v>
      </x:c>
      <x:c r="I127" s="26" t="str">
        <x:v>Prereqs: ACC-03, OWN-03, OWN-04</x:v>
      </x:c>
      <x:c r="J127" s="26" t="str">
        <x:v>Frontend + owner-interface owner</x:v>
      </x:c>
      <x:c r="K127" s="26" t="str">
        <x:v>HISTORICAL_STAGE8_CLAIM</x:v>
      </x:c>
      <x:c r="L127" s="26" t="str">
        <x:v>NOT_PROVEN_FOR_THIS_SCREEN</x:v>
      </x:c>
      <x:c r="M127" s="26" t="str">
        <x:v>TRACKED_SEPARATELY</x:v>
      </x:c>
      <x:c r="N127" s="26" t="str">
        <x:v>Stage8 GUI/API tests were reported historically. Per-screen current functional/runtime evidence is not mapped here; no visual approval inferred.</x:v>
      </x:c>
      <x:c r="O127" s="26" t="str">
        <x:v>Map existing exact evidence first; implement only a demonstrated gap, then satisfy this row's closure condition.</x:v>
      </x:c>
      <x:c r="P127" s="26" t="str">
        <x:v>S01, S10, S14 | §25.3</x:v>
      </x:c>
      <x:c r="Q127" s="26" t="str">
        <x:v>https://github.com/sarmadkhan17/Luffy/blob/9385f792f32277bb0b826dba83247b8f5ccf1f8a/SDD.md</x:v>
      </x:c>
    </x:row>
    <x:row r="128" ht="92" customHeight="1">
      <x:c r="A128" s="30" t="str">
        <x:v>VIS-01</x:v>
      </x:c>
      <x:c r="B128" s="26" t="str">
        <x:v>Dashboard visual approval</x:v>
      </x:c>
      <x:c r="C128" s="26" t="str">
        <x:v>BASELINE</x:v>
      </x:c>
      <x:c r="D128" s="26" t="str">
        <x:v>AWAITING_OWNER</x:v>
      </x:c>
      <x:c r="E128" s="26" t="str">
        <x:v>Owner visual approval — Overview.</x:v>
      </x:c>
      <x:c r="F128" s="26" t="str">
        <x:v>Only the owner can approve appearance and interaction against the accepted design.</x:v>
      </x:c>
      <x:c r="G128" s="26" t="str">
        <x:v>Exact screen/version, agreed viewport(s), reference screenshot/design and owner decision are recorded; material later visual changes reopen only affected approval.</x:v>
      </x:c>
      <x:c r="H128" s="26" t="str">
        <x:v>Passing typecheck, screenshot generation or agent preference cannot award owner approval.</x:v>
      </x:c>
      <x:c r="I128" s="26" t="str">
        <x:v>Prereqs: GUI-01</x:v>
      </x:c>
      <x:c r="J128" s="26" t="str">
        <x:v>Sarmad / owner</x:v>
      </x:c>
      <x:c r="K128" s="26" t="str">
        <x:v>NOT_APPLICABLE</x:v>
      </x:c>
      <x:c r="L128" s="26" t="str">
        <x:v>NOT_APPLICABLE</x:v>
      </x:c>
      <x:c r="M128" s="26" t="str">
        <x:v>PENDING_OWNER</x:v>
      </x:c>
      <x:c r="N128" s="26" t="str">
        <x:v>No exact current screen/version visual-approval receipt linked in this tracker.</x:v>
      </x:c>
      <x:c r="O128" s="26" t="str">
        <x:v>Map existing exact evidence first; implement only a demonstrated gap, then satisfy this row's closure condition.</x:v>
      </x:c>
      <x:c r="P128" s="26" t="str">
        <x:v>S10, S01 | §25; explicit GUI requirement</x:v>
      </x:c>
      <x:c r="Q128" s="26" t="str">
        <x:v>Owner: include dashboard GUI also.</x:v>
      </x:c>
    </x:row>
    <x:row r="129" ht="92" customHeight="1">
      <x:c r="A129" s="30" t="str">
        <x:v>GUI-02</x:v>
      </x:c>
      <x:c r="B129" s="26" t="str">
        <x:v>Dashboard GUI</x:v>
      </x:c>
      <x:c r="C129" s="26" t="str">
        <x:v>BASELINE</x:v>
      </x:c>
      <x:c r="D129" s="26" t="str">
        <x:v>AWAITING_EVIDENCE</x:v>
      </x:c>
      <x:c r="E129" s="26" t="str">
        <x:v>Trades: Navigate the complete trade or rejected-decision story.</x:v>
      </x:c>
      <x:c r="F129" s="26" t="str">
        <x:v>The owner must inspect what happened and why.</x:v>
      </x:c>
      <x:c r="G129" s="26" t="str">
        <x:v>Decision/context/spec→Portfolio/Risk→orders/fills/exits→accounting/outcome/replay links resolve to the correct records; missing links are explicit. Functional and runtime proof are separate from owner visual approval.</x:v>
      </x:c>
      <x:c r="H129" s="26" t="str">
        <x:v>Partial/unbound/unknown execution is not shown as verified complete; drilldown IDs stay exact.</x:v>
      </x:c>
      <x:c r="I129" s="26" t="str">
        <x:v>Prereqs: OUT-03, ACC-02, OWN-01</x:v>
      </x:c>
      <x:c r="J129" s="26" t="str">
        <x:v>Frontend + owner-interface owner</x:v>
      </x:c>
      <x:c r="K129" s="26" t="str">
        <x:v>HISTORICAL_STAGE8_CLAIM</x:v>
      </x:c>
      <x:c r="L129" s="26" t="str">
        <x:v>NOT_PROVEN_FOR_THIS_SCREEN</x:v>
      </x:c>
      <x:c r="M129" s="26" t="str">
        <x:v>TRACKED_SEPARATELY</x:v>
      </x:c>
      <x:c r="N129" s="26" t="str">
        <x:v>Stage8 GUI/API tests were reported historically. Per-screen current functional/runtime evidence is not mapped here; no visual approval inferred.</x:v>
      </x:c>
      <x:c r="O129" s="26" t="str">
        <x:v>Map existing exact evidence first; implement only a demonstrated gap, then satisfy this row's closure condition.</x:v>
      </x:c>
      <x:c r="P129" s="26" t="str">
        <x:v>S01, S10, S14 | §25.3</x:v>
      </x:c>
      <x:c r="Q129" s="26" t="str">
        <x:v>https://github.com/sarmadkhan17/Luffy/blob/9385f792f32277bb0b826dba83247b8f5ccf1f8a/SDD.md</x:v>
      </x:c>
    </x:row>
    <x:row r="130" ht="92" customHeight="1">
      <x:c r="A130" s="30" t="str">
        <x:v>VIS-02</x:v>
      </x:c>
      <x:c r="B130" s="26" t="str">
        <x:v>Dashboard visual approval</x:v>
      </x:c>
      <x:c r="C130" s="26" t="str">
        <x:v>BASELINE</x:v>
      </x:c>
      <x:c r="D130" s="26" t="str">
        <x:v>AWAITING_OWNER</x:v>
      </x:c>
      <x:c r="E130" s="26" t="str">
        <x:v>Owner visual approval — Trades.</x:v>
      </x:c>
      <x:c r="F130" s="26" t="str">
        <x:v>Only the owner can approve appearance and interaction against the accepted design.</x:v>
      </x:c>
      <x:c r="G130" s="26" t="str">
        <x:v>Exact screen/version, agreed viewport(s), reference screenshot/design and owner decision are recorded; material later visual changes reopen only affected approval.</x:v>
      </x:c>
      <x:c r="H130" s="26" t="str">
        <x:v>Passing typecheck, screenshot generation or agent preference cannot award owner approval.</x:v>
      </x:c>
      <x:c r="I130" s="26" t="str">
        <x:v>Prereqs: GUI-02</x:v>
      </x:c>
      <x:c r="J130" s="26" t="str">
        <x:v>Sarmad / owner</x:v>
      </x:c>
      <x:c r="K130" s="26" t="str">
        <x:v>NOT_APPLICABLE</x:v>
      </x:c>
      <x:c r="L130" s="26" t="str">
        <x:v>NOT_APPLICABLE</x:v>
      </x:c>
      <x:c r="M130" s="26" t="str">
        <x:v>PENDING_OWNER</x:v>
      </x:c>
      <x:c r="N130" s="26" t="str">
        <x:v>No exact current screen/version visual-approval receipt linked in this tracker.</x:v>
      </x:c>
      <x:c r="O130" s="26" t="str">
        <x:v>Map existing exact evidence first; implement only a demonstrated gap, then satisfy this row's closure condition.</x:v>
      </x:c>
      <x:c r="P130" s="26" t="str">
        <x:v>S10, S01 | §25; explicit GUI requirement</x:v>
      </x:c>
      <x:c r="Q130" s="26" t="str">
        <x:v>Owner: include dashboard GUI also.</x:v>
      </x:c>
    </x:row>
    <x:row r="131" ht="92" customHeight="1">
      <x:c r="A131" s="30" t="str">
        <x:v>GUI-03</x:v>
      </x:c>
      <x:c r="B131" s="26" t="str">
        <x:v>Dashboard GUI</x:v>
      </x:c>
      <x:c r="C131" s="26" t="str">
        <x:v>BASELINE</x:v>
      </x:c>
      <x:c r="D131" s="26" t="str">
        <x:v>AWAITING_EVIDENCE</x:v>
      </x:c>
      <x:c r="E131" s="26" t="str">
        <x:v>Research: Show questions, sources, hypotheses, experiments, evidence, contradictions, costs and blockers.</x:v>
      </x:c>
      <x:c r="F131" s="26" t="str">
        <x:v>Activity counts alone do not describe research progress.</x:v>
      </x:c>
      <x:c r="G131" s="26" t="str">
        <x:v>Supported, refuted, inconclusive, failed, untested and waiting-for-data states are navigable with evidence and costs; next questions are linked. Functional and runtime proof are separate from owner visual approval.</x:v>
      </x:c>
      <x:c r="H131" s="26" t="str">
        <x:v>No LLM/provider-disabled or busy-gated work is presented as completed useful research.</x:v>
      </x:c>
      <x:c r="I131" s="26" t="str">
        <x:v>Prereqs: RES-05, RES-09, OWN-01</x:v>
      </x:c>
      <x:c r="J131" s="26" t="str">
        <x:v>Frontend + owner-interface owner</x:v>
      </x:c>
      <x:c r="K131" s="26" t="str">
        <x:v>HISTORICAL_STAGE8_CLAIM</x:v>
      </x:c>
      <x:c r="L131" s="26" t="str">
        <x:v>NOT_PROVEN_FOR_THIS_SCREEN</x:v>
      </x:c>
      <x:c r="M131" s="26" t="str">
        <x:v>TRACKED_SEPARATELY</x:v>
      </x:c>
      <x:c r="N131" s="26" t="str">
        <x:v>Stage8 GUI/API tests were reported historically. Per-screen current functional/runtime evidence is not mapped here; no visual approval inferred.</x:v>
      </x:c>
      <x:c r="O131" s="26" t="str">
        <x:v>Map existing exact evidence first; implement only a demonstrated gap, then satisfy this row's closure condition.</x:v>
      </x:c>
      <x:c r="P131" s="26" t="str">
        <x:v>S01, S10, S14 | §25.3</x:v>
      </x:c>
      <x:c r="Q131" s="26" t="str">
        <x:v>https://github.com/sarmadkhan17/Luffy/blob/9385f792f32277bb0b826dba83247b8f5ccf1f8a/SDD.md</x:v>
      </x:c>
    </x:row>
    <x:row r="132" ht="92" customHeight="1">
      <x:c r="A132" s="30" t="str">
        <x:v>VIS-03</x:v>
      </x:c>
      <x:c r="B132" s="26" t="str">
        <x:v>Dashboard visual approval</x:v>
      </x:c>
      <x:c r="C132" s="26" t="str">
        <x:v>BASELINE</x:v>
      </x:c>
      <x:c r="D132" s="26" t="str">
        <x:v>AWAITING_OWNER</x:v>
      </x:c>
      <x:c r="E132" s="26" t="str">
        <x:v>Owner visual approval — Research.</x:v>
      </x:c>
      <x:c r="F132" s="26" t="str">
        <x:v>Only the owner can approve appearance and interaction against the accepted design.</x:v>
      </x:c>
      <x:c r="G132" s="26" t="str">
        <x:v>Exact screen/version, agreed viewport(s), reference screenshot/design and owner decision are recorded; material later visual changes reopen only affected approval.</x:v>
      </x:c>
      <x:c r="H132" s="26" t="str">
        <x:v>Passing typecheck, screenshot generation or agent preference cannot award owner approval.</x:v>
      </x:c>
      <x:c r="I132" s="26" t="str">
        <x:v>Prereqs: GUI-03</x:v>
      </x:c>
      <x:c r="J132" s="26" t="str">
        <x:v>Sarmad / owner</x:v>
      </x:c>
      <x:c r="K132" s="26" t="str">
        <x:v>NOT_APPLICABLE</x:v>
      </x:c>
      <x:c r="L132" s="26" t="str">
        <x:v>NOT_APPLICABLE</x:v>
      </x:c>
      <x:c r="M132" s="26" t="str">
        <x:v>PENDING_OWNER</x:v>
      </x:c>
      <x:c r="N132" s="26" t="str">
        <x:v>No exact current screen/version visual-approval receipt linked in this tracker.</x:v>
      </x:c>
      <x:c r="O132" s="26" t="str">
        <x:v>Map existing exact evidence first; implement only a demonstrated gap, then satisfy this row's closure condition.</x:v>
      </x:c>
      <x:c r="P132" s="26" t="str">
        <x:v>S10, S01 | §25; explicit GUI requirement</x:v>
      </x:c>
      <x:c r="Q132" s="26" t="str">
        <x:v>Owner: include dashboard GUI also.</x:v>
      </x:c>
    </x:row>
    <x:row r="133" ht="92" customHeight="1">
      <x:c r="A133" s="30" t="str">
        <x:v>GUI-04</x:v>
      </x:c>
      <x:c r="B133" s="26" t="str">
        <x:v>Dashboard GUI</x:v>
      </x:c>
      <x:c r="C133" s="26" t="str">
        <x:v>BASELINE</x:v>
      </x:c>
      <x:c r="D133" s="26" t="str">
        <x:v>AWAITING_EVIDENCE</x:v>
      </x:c>
      <x:c r="E133" s="26" t="str">
        <x:v>Strategies: Show families, exact versions/hashes, evidence, lifecycle, economics, capacity and approval.</x:v>
      </x:c>
      <x:c r="F133" s="26" t="str">
        <x:v>A strategy label must reflect its actual authority and support.</x:v>
      </x:c>
      <x:c r="G133" s="26" t="str">
        <x:v>Selecting a version shows its exact receipts/state and allowed actions; approval staleness and Governor history agree with authoritative records. Functional and runtime proof are separate from owner visual approval.</x:v>
      </x:c>
      <x:c r="H133" s="26" t="str">
        <x:v>Changed spec/evidence/capability invalidates stale approval; no UI direct activation bypass.</x:v>
      </x:c>
      <x:c r="I133" s="26" t="str">
        <x:v>Prereqs: STR-03, STR-04, PORT-02</x:v>
      </x:c>
      <x:c r="J133" s="26" t="str">
        <x:v>Frontend + owner-interface owner</x:v>
      </x:c>
      <x:c r="K133" s="26" t="str">
        <x:v>HISTORICAL_STAGE8_CLAIM</x:v>
      </x:c>
      <x:c r="L133" s="26" t="str">
        <x:v>NOT_PROVEN_FOR_THIS_SCREEN</x:v>
      </x:c>
      <x:c r="M133" s="26" t="str">
        <x:v>TRACKED_SEPARATELY</x:v>
      </x:c>
      <x:c r="N133" s="26" t="str">
        <x:v>Stage8 GUI/API tests were reported historically. Per-screen current functional/runtime evidence is not mapped here; no visual approval inferred.</x:v>
      </x:c>
      <x:c r="O133" s="26" t="str">
        <x:v>Map existing exact evidence first; implement only a demonstrated gap, then satisfy this row's closure condition.</x:v>
      </x:c>
      <x:c r="P133" s="26" t="str">
        <x:v>S01, S10, S14 | §25.3</x:v>
      </x:c>
      <x:c r="Q133" s="26" t="str">
        <x:v>https://github.com/sarmadkhan17/Luffy/blob/9385f792f32277bb0b826dba83247b8f5ccf1f8a/SDD.md</x:v>
      </x:c>
    </x:row>
    <x:row r="134" ht="92" customHeight="1">
      <x:c r="A134" s="30" t="str">
        <x:v>VIS-04</x:v>
      </x:c>
      <x:c r="B134" s="26" t="str">
        <x:v>Dashboard visual approval</x:v>
      </x:c>
      <x:c r="C134" s="26" t="str">
        <x:v>BASELINE</x:v>
      </x:c>
      <x:c r="D134" s="26" t="str">
        <x:v>AWAITING_OWNER</x:v>
      </x:c>
      <x:c r="E134" s="26" t="str">
        <x:v>Owner visual approval — Strategies.</x:v>
      </x:c>
      <x:c r="F134" s="26" t="str">
        <x:v>Only the owner can approve appearance and interaction against the accepted design.</x:v>
      </x:c>
      <x:c r="G134" s="26" t="str">
        <x:v>Exact screen/version, agreed viewport(s), reference screenshot/design and owner decision are recorded; material later visual changes reopen only affected approval.</x:v>
      </x:c>
      <x:c r="H134" s="26" t="str">
        <x:v>Passing typecheck, screenshot generation or agent preference cannot award owner approval.</x:v>
      </x:c>
      <x:c r="I134" s="26" t="str">
        <x:v>Prereqs: GUI-04</x:v>
      </x:c>
      <x:c r="J134" s="26" t="str">
        <x:v>Sarmad / owner</x:v>
      </x:c>
      <x:c r="K134" s="26" t="str">
        <x:v>NOT_APPLICABLE</x:v>
      </x:c>
      <x:c r="L134" s="26" t="str">
        <x:v>NOT_APPLICABLE</x:v>
      </x:c>
      <x:c r="M134" s="26" t="str">
        <x:v>PENDING_OWNER</x:v>
      </x:c>
      <x:c r="N134" s="26" t="str">
        <x:v>No exact current screen/version visual-approval receipt linked in this tracker.</x:v>
      </x:c>
      <x:c r="O134" s="26" t="str">
        <x:v>Map existing exact evidence first; implement only a demonstrated gap, then satisfy this row's closure condition.</x:v>
      </x:c>
      <x:c r="P134" s="26" t="str">
        <x:v>S10, S01 | §25; explicit GUI requirement</x:v>
      </x:c>
      <x:c r="Q134" s="26" t="str">
        <x:v>Owner: include dashboard GUI also.</x:v>
      </x:c>
    </x:row>
    <x:row r="135" ht="92" customHeight="1">
      <x:c r="A135" s="30" t="str">
        <x:v>GUI-05</x:v>
      </x:c>
      <x:c r="B135" s="26" t="str">
        <x:v>Dashboard GUI</x:v>
      </x:c>
      <x:c r="C135" s="26" t="str">
        <x:v>BASELINE</x:v>
      </x:c>
      <x:c r="D135" s="26" t="str">
        <x:v>AWAITING_EVIDENCE</x:v>
      </x:c>
      <x:c r="E135" s="26" t="str">
        <x:v>LUFFY: Provide concise grounded conversation with inspectable evidence and explicit controls.</x:v>
      </x:c>
      <x:c r="F135" s="26" t="str">
        <x:v>The owner needs a usable partner interface, not logs or hallucinated explanations.</x:v>
      </x:c>
      <x:c r="G135" s="26" t="str">
        <x:v>Conversation loading/pending/error/history and Evidence/Explain/Open links work; answers use typed sources; commands report actual acceptance/outcome. Functional and runtime proof are separate from owner visual approval.</x:v>
      </x:c>
      <x:c r="H135" s="26" t="str">
        <x:v>No answer invents current venue truth; repeated messages or connection loss cannot duplicate commands.</x:v>
      </x:c>
      <x:c r="I135" s="26" t="str">
        <x:v>Prereqs: OWN-01, OWN-02</x:v>
      </x:c>
      <x:c r="J135" s="26" t="str">
        <x:v>Frontend + owner-interface owner</x:v>
      </x:c>
      <x:c r="K135" s="26" t="str">
        <x:v>HISTORICAL_STAGE8_CLAIM</x:v>
      </x:c>
      <x:c r="L135" s="26" t="str">
        <x:v>NOT_PROVEN_FOR_THIS_SCREEN</x:v>
      </x:c>
      <x:c r="M135" s="26" t="str">
        <x:v>TRACKED_SEPARATELY</x:v>
      </x:c>
      <x:c r="N135" s="26" t="str">
        <x:v>Stage8 GUI/API tests were reported historically. Per-screen current functional/runtime evidence is not mapped here; no visual approval inferred.</x:v>
      </x:c>
      <x:c r="O135" s="26" t="str">
        <x:v>Map existing exact evidence first; implement only a demonstrated gap, then satisfy this row's closure condition.</x:v>
      </x:c>
      <x:c r="P135" s="26" t="str">
        <x:v>S01, S10, S14 | §25.3</x:v>
      </x:c>
      <x:c r="Q135" s="26" t="str">
        <x:v>https://github.com/sarmadkhan17/Luffy/blob/9385f792f32277bb0b826dba83247b8f5ccf1f8a/SDD.md</x:v>
      </x:c>
    </x:row>
    <x:row r="136" ht="92" customHeight="1">
      <x:c r="A136" s="30" t="str">
        <x:v>VIS-05</x:v>
      </x:c>
      <x:c r="B136" s="26" t="str">
        <x:v>Dashboard visual approval</x:v>
      </x:c>
      <x:c r="C136" s="26" t="str">
        <x:v>BASELINE</x:v>
      </x:c>
      <x:c r="D136" s="26" t="str">
        <x:v>AWAITING_OWNER</x:v>
      </x:c>
      <x:c r="E136" s="26" t="str">
        <x:v>Owner visual approval — LUFFY.</x:v>
      </x:c>
      <x:c r="F136" s="26" t="str">
        <x:v>Only the owner can approve appearance and interaction against the accepted design.</x:v>
      </x:c>
      <x:c r="G136" s="26" t="str">
        <x:v>Exact screen/version, agreed viewport(s), reference screenshot/design and owner decision are recorded; material later visual changes reopen only affected approval.</x:v>
      </x:c>
      <x:c r="H136" s="26" t="str">
        <x:v>Passing typecheck, screenshot generation or agent preference cannot award owner approval.</x:v>
      </x:c>
      <x:c r="I136" s="26" t="str">
        <x:v>Prereqs: GUI-05</x:v>
      </x:c>
      <x:c r="J136" s="26" t="str">
        <x:v>Sarmad / owner</x:v>
      </x:c>
      <x:c r="K136" s="26" t="str">
        <x:v>NOT_APPLICABLE</x:v>
      </x:c>
      <x:c r="L136" s="26" t="str">
        <x:v>NOT_APPLICABLE</x:v>
      </x:c>
      <x:c r="M136" s="26" t="str">
        <x:v>PENDING_OWNER</x:v>
      </x:c>
      <x:c r="N136" s="26" t="str">
        <x:v>No exact current screen/version visual-approval receipt linked in this tracker.</x:v>
      </x:c>
      <x:c r="O136" s="26" t="str">
        <x:v>Map existing exact evidence first; implement only a demonstrated gap, then satisfy this row's closure condition.</x:v>
      </x:c>
      <x:c r="P136" s="26" t="str">
        <x:v>S10, S01 | §25; explicit GUI requirement</x:v>
      </x:c>
      <x:c r="Q136" s="26" t="str">
        <x:v>Owner: include dashboard GUI also.</x:v>
      </x:c>
    </x:row>
    <x:row r="137" ht="92" customHeight="1">
      <x:c r="A137" s="30" t="str">
        <x:v>GUI-06</x:v>
      </x:c>
      <x:c r="B137" s="26" t="str">
        <x:v>Dashboard GUI</x:v>
      </x:c>
      <x:c r="C137" s="26" t="str">
        <x:v>BASELINE</x:v>
      </x:c>
      <x:c r="D137" s="26" t="str">
        <x:v>AWAITING_EVIDENCE</x:v>
      </x:c>
      <x:c r="E137" s="26" t="str">
        <x:v>Operations: Show actual scans, priorities, decisions, refusals, orders and background work.</x:v>
      </x:c>
      <x:c r="F137" s="26" t="str">
        <x:v>Distinguishes no opportunity from a broken or starved pipeline.</x:v>
      </x:c>
      <x:c r="G137" s="26" t="str">
        <x:v>Working, idle, disabled, waiting, starved and failed components have reasons, timestamps and links to relevant cycle/worker records. Functional and runtime proof are separate from owner visual approval.</x:v>
      </x:c>
      <x:c r="H137" s="26" t="str">
        <x:v>A failed scan cannot become a healthy empty selection; no fabricated counts or animations.</x:v>
      </x:c>
      <x:c r="I137" s="26" t="str">
        <x:v>Prereqs: ATT-02, RUN-04, MON-05</x:v>
      </x:c>
      <x:c r="J137" s="26" t="str">
        <x:v>Frontend + owner-interface owner</x:v>
      </x:c>
      <x:c r="K137" s="26" t="str">
        <x:v>HISTORICAL_STAGE8_CLAIM</x:v>
      </x:c>
      <x:c r="L137" s="26" t="str">
        <x:v>NOT_PROVEN_FOR_THIS_SCREEN</x:v>
      </x:c>
      <x:c r="M137" s="26" t="str">
        <x:v>TRACKED_SEPARATELY</x:v>
      </x:c>
      <x:c r="N137" s="26" t="str">
        <x:v>Stage8 GUI/API tests were reported historically. Per-screen current functional/runtime evidence is not mapped here; no visual approval inferred.</x:v>
      </x:c>
      <x:c r="O137" s="26" t="str">
        <x:v>Map existing exact evidence first; implement only a demonstrated gap, then satisfy this row's closure condition.</x:v>
      </x:c>
      <x:c r="P137" s="26" t="str">
        <x:v>S01, S10, S14 | §25.3</x:v>
      </x:c>
      <x:c r="Q137" s="26" t="str">
        <x:v>https://github.com/sarmadkhan17/Luffy/blob/9385f792f32277bb0b826dba83247b8f5ccf1f8a/SDD.md</x:v>
      </x:c>
    </x:row>
    <x:row r="138" ht="92" customHeight="1">
      <x:c r="A138" s="30" t="str">
        <x:v>VIS-06</x:v>
      </x:c>
      <x:c r="B138" s="26" t="str">
        <x:v>Dashboard visual approval</x:v>
      </x:c>
      <x:c r="C138" s="26" t="str">
        <x:v>BASELINE</x:v>
      </x:c>
      <x:c r="D138" s="26" t="str">
        <x:v>AWAITING_OWNER</x:v>
      </x:c>
      <x:c r="E138" s="26" t="str">
        <x:v>Owner visual approval — Operations.</x:v>
      </x:c>
      <x:c r="F138" s="26" t="str">
        <x:v>Only the owner can approve appearance and interaction against the accepted design.</x:v>
      </x:c>
      <x:c r="G138" s="26" t="str">
        <x:v>Exact screen/version, agreed viewport(s), reference screenshot/design and owner decision are recorded; material later visual changes reopen only affected approval.</x:v>
      </x:c>
      <x:c r="H138" s="26" t="str">
        <x:v>Passing typecheck, screenshot generation or agent preference cannot award owner approval.</x:v>
      </x:c>
      <x:c r="I138" s="26" t="str">
        <x:v>Prereqs: GUI-06</x:v>
      </x:c>
      <x:c r="J138" s="26" t="str">
        <x:v>Sarmad / owner</x:v>
      </x:c>
      <x:c r="K138" s="26" t="str">
        <x:v>NOT_APPLICABLE</x:v>
      </x:c>
      <x:c r="L138" s="26" t="str">
        <x:v>NOT_APPLICABLE</x:v>
      </x:c>
      <x:c r="M138" s="26" t="str">
        <x:v>PENDING_OWNER</x:v>
      </x:c>
      <x:c r="N138" s="26" t="str">
        <x:v>No exact current screen/version visual-approval receipt linked in this tracker.</x:v>
      </x:c>
      <x:c r="O138" s="26" t="str">
        <x:v>Map existing exact evidence first; implement only a demonstrated gap, then satisfy this row's closure condition.</x:v>
      </x:c>
      <x:c r="P138" s="26" t="str">
        <x:v>S10, S01 | §25; explicit GUI requirement</x:v>
      </x:c>
      <x:c r="Q138" s="26" t="str">
        <x:v>Owner: include dashboard GUI also.</x:v>
      </x:c>
    </x:row>
    <x:row r="139" ht="92" customHeight="1">
      <x:c r="A139" s="30" t="str">
        <x:v>GUI-07</x:v>
      </x:c>
      <x:c r="B139" s="26" t="str">
        <x:v>Dashboard GUI</x:v>
      </x:c>
      <x:c r="C139" s="26" t="str">
        <x:v>BASELINE</x:v>
      </x:c>
      <x:c r="D139" s="26" t="str">
        <x:v>AWAITING_EVIDENCE</x:v>
      </x:c>
      <x:c r="E139" s="26" t="str">
        <x:v>Live System: Visualize actual runtime components, links, data movement and health.</x:v>
      </x:c>
      <x:c r="F139" s="26" t="str">
        <x:v>Owner should see observed topology, not a fictional brain.</x:v>
      </x:c>
      <x:c r="G139" s="26" t="str">
        <x:v>Configured topology is separated from observed nodes/flows, health and update age; advanced raw internals are optional detail. Functional and runtime proof are separate from owner visual approval.</x:v>
      </x:c>
      <x:c r="H139" s="26" t="str">
        <x:v>Stopped processes/absent telemetry cannot show live flow; visual failure cannot impact backend.</x:v>
      </x:c>
      <x:c r="I139" s="26" t="str">
        <x:v>Prereqs: OWN-04</x:v>
      </x:c>
      <x:c r="J139" s="26" t="str">
        <x:v>Frontend + owner-interface owner</x:v>
      </x:c>
      <x:c r="K139" s="26" t="str">
        <x:v>HISTORICAL_STAGE8_CLAIM</x:v>
      </x:c>
      <x:c r="L139" s="26" t="str">
        <x:v>NOT_PROVEN_FOR_THIS_SCREEN</x:v>
      </x:c>
      <x:c r="M139" s="26" t="str">
        <x:v>TRACKED_SEPARATELY</x:v>
      </x:c>
      <x:c r="N139" s="26" t="str">
        <x:v>Stage8 GUI/API tests were reported historically. Per-screen current functional/runtime evidence is not mapped here; no visual approval inferred.</x:v>
      </x:c>
      <x:c r="O139" s="26" t="str">
        <x:v>Map existing exact evidence first; implement only a demonstrated gap, then satisfy this row's closure condition.</x:v>
      </x:c>
      <x:c r="P139" s="26" t="str">
        <x:v>S01, S10, S14 | §25.3</x:v>
      </x:c>
      <x:c r="Q139" s="26" t="str">
        <x:v>https://github.com/sarmadkhan17/Luffy/blob/9385f792f32277bb0b826dba83247b8f5ccf1f8a/SDD.md</x:v>
      </x:c>
    </x:row>
    <x:row r="140" ht="92" customHeight="1">
      <x:c r="A140" s="30" t="str">
        <x:v>VIS-07</x:v>
      </x:c>
      <x:c r="B140" s="26" t="str">
        <x:v>Dashboard visual approval</x:v>
      </x:c>
      <x:c r="C140" s="26" t="str">
        <x:v>BASELINE</x:v>
      </x:c>
      <x:c r="D140" s="26" t="str">
        <x:v>AWAITING_OWNER</x:v>
      </x:c>
      <x:c r="E140" s="26" t="str">
        <x:v>Owner visual approval — Live System.</x:v>
      </x:c>
      <x:c r="F140" s="26" t="str">
        <x:v>Only the owner can approve appearance and interaction against the accepted design.</x:v>
      </x:c>
      <x:c r="G140" s="26" t="str">
        <x:v>Exact screen/version, agreed viewport(s), reference screenshot/design and owner decision are recorded; material later visual changes reopen only affected approval.</x:v>
      </x:c>
      <x:c r="H140" s="26" t="str">
        <x:v>Passing typecheck, screenshot generation or agent preference cannot award owner approval.</x:v>
      </x:c>
      <x:c r="I140" s="26" t="str">
        <x:v>Prereqs: GUI-07</x:v>
      </x:c>
      <x:c r="J140" s="26" t="str">
        <x:v>Sarmad / owner</x:v>
      </x:c>
      <x:c r="K140" s="26" t="str">
        <x:v>NOT_APPLICABLE</x:v>
      </x:c>
      <x:c r="L140" s="26" t="str">
        <x:v>NOT_APPLICABLE</x:v>
      </x:c>
      <x:c r="M140" s="26" t="str">
        <x:v>PENDING_OWNER</x:v>
      </x:c>
      <x:c r="N140" s="26" t="str">
        <x:v>No exact current screen/version visual-approval receipt linked in this tracker.</x:v>
      </x:c>
      <x:c r="O140" s="26" t="str">
        <x:v>Map existing exact evidence first; implement only a demonstrated gap, then satisfy this row's closure condition.</x:v>
      </x:c>
      <x:c r="P140" s="26" t="str">
        <x:v>S10, S01 | §25; explicit GUI requirement</x:v>
      </x:c>
      <x:c r="Q140" s="26" t="str">
        <x:v>Owner: include dashboard GUI also.</x:v>
      </x:c>
    </x:row>
    <x:row r="141" ht="92" customHeight="1">
      <x:c r="A141" s="30" t="str">
        <x:v>GUI-08</x:v>
      </x:c>
      <x:c r="B141" s="26" t="str">
        <x:v>Dashboard GUI</x:v>
      </x:c>
      <x:c r="C141" s="26" t="str">
        <x:v>BASELINE</x:v>
      </x:c>
      <x:c r="D141" s="26" t="str">
        <x:v>AWAITING_EVIDENCE</x:v>
      </x:c>
      <x:c r="E141" s="26" t="str">
        <x:v>Knowledge: Support Knowledge, Evidence, Timeline and Code lenses.</x:v>
      </x:c>
      <x:c r="F141" s="26" t="str">
        <x:v>Knowledge must remain inspectable back to exact evidence.</x:v>
      </x:c>
      <x:c r="G141" s="26" t="str">
        <x:v>Search, selection and links trace observation→hypothesis→experiment→evidence→conclusion→strategy/decision→outcome→learning. Functional and runtime proof are separate from owner visual approval.</x:v>
      </x:c>
      <x:c r="H141" s="26" t="str">
        <x:v>Missing, inferred, truncated and exact matches are labelled distinctly; no arbitrary semantic causality.</x:v>
      </x:c>
      <x:c r="I141" s="26" t="str">
        <x:v>Prereqs: MEM-01, MEM-02, OUT-03</x:v>
      </x:c>
      <x:c r="J141" s="26" t="str">
        <x:v>Frontend + owner-interface owner</x:v>
      </x:c>
      <x:c r="K141" s="26" t="str">
        <x:v>HISTORICAL_STAGE8_CLAIM</x:v>
      </x:c>
      <x:c r="L141" s="26" t="str">
        <x:v>NOT_PROVEN_FOR_THIS_SCREEN</x:v>
      </x:c>
      <x:c r="M141" s="26" t="str">
        <x:v>TRACKED_SEPARATELY</x:v>
      </x:c>
      <x:c r="N141" s="26" t="str">
        <x:v>Stage8 GUI/API tests were reported historically. Per-screen current functional/runtime evidence is not mapped here; no visual approval inferred.</x:v>
      </x:c>
      <x:c r="O141" s="26" t="str">
        <x:v>Map existing exact evidence first; implement only a demonstrated gap, then satisfy this row's closure condition.</x:v>
      </x:c>
      <x:c r="P141" s="26" t="str">
        <x:v>S01, S10, S14 | §25.3</x:v>
      </x:c>
      <x:c r="Q141" s="26" t="str">
        <x:v>https://github.com/sarmadkhan17/Luffy/blob/9385f792f32277bb0b826dba83247b8f5ccf1f8a/SDD.md</x:v>
      </x:c>
    </x:row>
    <x:row r="142" ht="92" customHeight="1">
      <x:c r="A142" s="30" t="str">
        <x:v>VIS-08</x:v>
      </x:c>
      <x:c r="B142" s="26" t="str">
        <x:v>Dashboard visual approval</x:v>
      </x:c>
      <x:c r="C142" s="26" t="str">
        <x:v>BASELINE</x:v>
      </x:c>
      <x:c r="D142" s="26" t="str">
        <x:v>AWAITING_OWNER</x:v>
      </x:c>
      <x:c r="E142" s="26" t="str">
        <x:v>Owner visual approval — Knowledge.</x:v>
      </x:c>
      <x:c r="F142" s="26" t="str">
        <x:v>Only the owner can approve appearance and interaction against the accepted design.</x:v>
      </x:c>
      <x:c r="G142" s="26" t="str">
        <x:v>Exact screen/version, agreed viewport(s), reference screenshot/design and owner decision are recorded; material later visual changes reopen only affected approval.</x:v>
      </x:c>
      <x:c r="H142" s="26" t="str">
        <x:v>Passing typecheck, screenshot generation or agent preference cannot award owner approval.</x:v>
      </x:c>
      <x:c r="I142" s="26" t="str">
        <x:v>Prereqs: GUI-08</x:v>
      </x:c>
      <x:c r="J142" s="26" t="str">
        <x:v>Sarmad / owner</x:v>
      </x:c>
      <x:c r="K142" s="26" t="str">
        <x:v>NOT_APPLICABLE</x:v>
      </x:c>
      <x:c r="L142" s="26" t="str">
        <x:v>NOT_APPLICABLE</x:v>
      </x:c>
      <x:c r="M142" s="26" t="str">
        <x:v>PENDING_OWNER</x:v>
      </x:c>
      <x:c r="N142" s="26" t="str">
        <x:v>No exact current screen/version visual-approval receipt linked in this tracker.</x:v>
      </x:c>
      <x:c r="O142" s="26" t="str">
        <x:v>Map existing exact evidence first; implement only a demonstrated gap, then satisfy this row's closure condition.</x:v>
      </x:c>
      <x:c r="P142" s="26" t="str">
        <x:v>S10, S01 | §25; explicit GUI requirement</x:v>
      </x:c>
      <x:c r="Q142" s="26" t="str">
        <x:v>Owner: include dashboard GUI also.</x:v>
      </x:c>
    </x:row>
    <x:row r="143" ht="92" customHeight="1">
      <x:c r="A143" s="30" t="str">
        <x:v>GUI-09</x:v>
      </x:c>
      <x:c r="B143" s="26" t="str">
        <x:v>Dashboard GUI</x:v>
      </x:c>
      <x:c r="C143" s="26" t="str">
        <x:v>BASELINE</x:v>
      </x:c>
      <x:c r="D143" s="26" t="str">
        <x:v>AWAITING_EVIDENCE</x:v>
      </x:c>
      <x:c r="E143" s="26" t="str">
        <x:v>Diagnostics: Expose health, latency, resource, data/API/storage and recovery evidence.</x:v>
      </x:c>
      <x:c r="F143" s="26" t="str">
        <x:v>The owner needs actionable diagnosis rather than red indicators.</x:v>
      </x:c>
      <x:c r="G143" s="26" t="str">
        <x:v>Errors show bounded reason, phase, time, affected source and evidence; advanced details are separate from normal owner surfaces. Functional and runtime proof are separate from owner visual approval.</x:v>
      </x:c>
      <x:c r="H143" s="26" t="str">
        <x:v>Unknown SQLite cause cannot display confirmed disk corruption; stale snapshots do not show current recovery proof.</x:v>
      </x:c>
      <x:c r="I143" s="26" t="str">
        <x:v>Prereqs: MON-02, MON-05</x:v>
      </x:c>
      <x:c r="J143" s="26" t="str">
        <x:v>Frontend + owner-interface owner</x:v>
      </x:c>
      <x:c r="K143" s="26" t="str">
        <x:v>HISTORICAL_STAGE8_CLAIM</x:v>
      </x:c>
      <x:c r="L143" s="26" t="str">
        <x:v>NOT_PROVEN_FOR_THIS_SCREEN</x:v>
      </x:c>
      <x:c r="M143" s="26" t="str">
        <x:v>TRACKED_SEPARATELY</x:v>
      </x:c>
      <x:c r="N143" s="26" t="str">
        <x:v>Stage8 GUI/API tests were reported historically. Per-screen current functional/runtime evidence is not mapped here; no visual approval inferred.</x:v>
      </x:c>
      <x:c r="O143" s="26" t="str">
        <x:v>Map existing exact evidence first; implement only a demonstrated gap, then satisfy this row's closure condition.</x:v>
      </x:c>
      <x:c r="P143" s="26" t="str">
        <x:v>S01, S10, S14 | §25.3</x:v>
      </x:c>
      <x:c r="Q143" s="26" t="str">
        <x:v>https://github.com/sarmadkhan17/Luffy/blob/9385f792f32277bb0b826dba83247b8f5ccf1f8a/SDD.md</x:v>
      </x:c>
    </x:row>
    <x:row r="144" ht="92" customHeight="1">
      <x:c r="A144" s="30" t="str">
        <x:v>VIS-09</x:v>
      </x:c>
      <x:c r="B144" s="26" t="str">
        <x:v>Dashboard visual approval</x:v>
      </x:c>
      <x:c r="C144" s="26" t="str">
        <x:v>BASELINE</x:v>
      </x:c>
      <x:c r="D144" s="26" t="str">
        <x:v>AWAITING_OWNER</x:v>
      </x:c>
      <x:c r="E144" s="26" t="str">
        <x:v>Owner visual approval — Diagnostics.</x:v>
      </x:c>
      <x:c r="F144" s="26" t="str">
        <x:v>Only the owner can approve appearance and interaction against the accepted design.</x:v>
      </x:c>
      <x:c r="G144" s="26" t="str">
        <x:v>Exact screen/version, agreed viewport(s), reference screenshot/design and owner decision are recorded; material later visual changes reopen only affected approval.</x:v>
      </x:c>
      <x:c r="H144" s="26" t="str">
        <x:v>Passing typecheck, screenshot generation or agent preference cannot award owner approval.</x:v>
      </x:c>
      <x:c r="I144" s="26" t="str">
        <x:v>Prereqs: GUI-09</x:v>
      </x:c>
      <x:c r="J144" s="26" t="str">
        <x:v>Sarmad / owner</x:v>
      </x:c>
      <x:c r="K144" s="26" t="str">
        <x:v>NOT_APPLICABLE</x:v>
      </x:c>
      <x:c r="L144" s="26" t="str">
        <x:v>NOT_APPLICABLE</x:v>
      </x:c>
      <x:c r="M144" s="26" t="str">
        <x:v>PENDING_OWNER</x:v>
      </x:c>
      <x:c r="N144" s="26" t="str">
        <x:v>No exact current screen/version visual-approval receipt linked in this tracker.</x:v>
      </x:c>
      <x:c r="O144" s="26" t="str">
        <x:v>Map existing exact evidence first; implement only a demonstrated gap, then satisfy this row's closure condition.</x:v>
      </x:c>
      <x:c r="P144" s="26" t="str">
        <x:v>S10, S01 | §25; explicit GUI requirement</x:v>
      </x:c>
      <x:c r="Q144" s="26" t="str">
        <x:v>Owner: include dashboard GUI also.</x:v>
      </x:c>
    </x:row>
    <x:row r="145" ht="92" customHeight="1">
      <x:c r="A145" s="30" t="str">
        <x:v>GUX-01</x:v>
      </x:c>
      <x:c r="B145" s="26" t="str">
        <x:v>GUI shared behaviour</x:v>
      </x:c>
      <x:c r="C145" s="26" t="str">
        <x:v>BASELINE</x:v>
      </x:c>
      <x:c r="D145" s="26" t="str">
        <x:v>EVIDENCE_TO_MAP</x:v>
      </x:c>
      <x:c r="E145" s="26" t="str">
        <x:v>Preserve one approved root React dashboard with all nine routes.</x:v>
      </x:c>
      <x:c r="F145" s="26" t="str">
        <x:v>Avoids divergent legacy/preview interfaces and redesign drift.</x:v>
      </x:c>
      <x:c r="G145" s="26" t="str">
        <x:v>The agreed root navigation, route/deep-link/back/refresh behaviour and required backend APIs work on the deployed build; legacy state is explicitly classified.</x:v>
      </x:c>
      <x:c r="H145" s="26" t="str">
        <x:v>No route silently falls back to fixtures or an unapproved old UI.</x:v>
      </x:c>
      <x:c r="I145" s="26" t="str">
        <x:v>Prereqs: GUI-01, GUI-09</x:v>
      </x:c>
      <x:c r="J145" s="26" t="str">
        <x:v>Frontend + owner-interface owner</x:v>
      </x:c>
      <x:c r="K145" s="26" t="str">
        <x:v>NOT_MAPPED</x:v>
      </x:c>
      <x:c r="L145" s="26" t="str">
        <x:v>NOT_MAPPED</x:v>
      </x:c>
      <x:c r="M145" s="26" t="str">
        <x:v>NOT_APPLICABLE</x:v>
      </x:c>
      <x:c r="N145" s="26" t="str">
        <x:v>No item-level evidence mapping completed in this tracker.</x:v>
      </x:c>
      <x:c r="O145" s="26" t="str">
        <x:v>Map existing exact evidence first; implement only a demonstrated gap, then satisfy this row's closure condition.</x:v>
      </x:c>
      <x:c r="P145" s="26" t="str">
        <x:v>S01, S10 | §25.1–25.3</x:v>
      </x:c>
      <x:c r="Q145" s="26" t="str">
        <x:v>https://github.com/sarmadkhan17/Luffy/blob/9385f792f32277bb0b826dba83247b8f5ccf1f8a/SDD.md</x:v>
      </x:c>
    </x:row>
    <x:row r="146" ht="92" customHeight="1">
      <x:c r="A146" s="30" t="str">
        <x:v>GUX-02</x:v>
      </x:c>
      <x:c r="B146" s="26" t="str">
        <x:v>GUI shared behaviour</x:v>
      </x:c>
      <x:c r="C146" s="26" t="str">
        <x:v>BASELINE</x:v>
      </x:c>
      <x:c r="D146" s="26" t="str">
        <x:v>EVIDENCE_TO_MAP</x:v>
      </x:c>
      <x:c r="E146" s="26" t="str">
        <x:v>Make loading, empty, unavailable, stale and error states explicit.</x:v>
      </x:c>
      <x:c r="F146" s="26" t="str">
        <x:v>No data and failed data retrieval are different facts.</x:v>
      </x:c>
      <x:c r="G146" s="26" t="str">
        <x:v>Each screen's main request states render distinctly with freshness and appropriate retry/permissions; LIVE never substitutes demo fixtures.</x:v>
      </x:c>
      <x:c r="H146" s="26" t="str">
        <x:v>Disconnected API, partial payload, 403/404 and slow response cannot fabricate fresh data.</x:v>
      </x:c>
      <x:c r="I146" s="26" t="str">
        <x:v>Prereqs: OWN-04</x:v>
      </x:c>
      <x:c r="J146" s="26" t="str">
        <x:v>Frontend + owner-interface owner</x:v>
      </x:c>
      <x:c r="K146" s="26" t="str">
        <x:v>NOT_MAPPED</x:v>
      </x:c>
      <x:c r="L146" s="26" t="str">
        <x:v>NOT_MAPPED</x:v>
      </x:c>
      <x:c r="M146" s="26" t="str">
        <x:v>NOT_APPLICABLE</x:v>
      </x:c>
      <x:c r="N146" s="26" t="str">
        <x:v>No item-level evidence mapping completed in this tracker.</x:v>
      </x:c>
      <x:c r="O146" s="26" t="str">
        <x:v>Map existing exact evidence first; implement only a demonstrated gap, then satisfy this row's closure condition.</x:v>
      </x:c>
      <x:c r="P146" s="26" t="str">
        <x:v>S01, S10 | §25.3; GUI verification detail</x:v>
      </x:c>
      <x:c r="Q146" s="26" t="str">
        <x:v>https://github.com/sarmadkhan17/Luffy/blob/9385f792f32277bb0b826dba83247b8f5ccf1f8a/SDD.md</x:v>
      </x:c>
    </x:row>
    <x:row r="147" ht="92" customHeight="1">
      <x:c r="A147" s="30" t="str">
        <x:v>GUX-03</x:v>
      </x:c>
      <x:c r="B147" s="26" t="str">
        <x:v>GUI shared behaviour</x:v>
      </x:c>
      <x:c r="C147" s="26" t="str">
        <x:v>BASELINE</x:v>
      </x:c>
      <x:c r="D147" s="26" t="str">
        <x:v>EVIDENCE_TO_MAP</x:v>
      </x:c>
      <x:c r="E147" s="26" t="str">
        <x:v>Keep evidence links, filters, sort, search and detail navigation exact.</x:v>
      </x:c>
      <x:c r="F147" s="26" t="str">
        <x:v>An attractive screen is not functionally complete.</x:v>
      </x:c>
      <x:c r="G147" s="26" t="str">
        <x:v>Agreed user journeys across IDs/filters/page boundaries and linked details resolve correctly on real contracts.</x:v>
      </x:c>
      <x:c r="H147" s="26" t="str">
        <x:v>Display truncation, stale selection and duplicate names cannot select the wrong record.</x:v>
      </x:c>
      <x:c r="I147" s="26" t="str">
        <x:v>Prereqs: MEM-02, GUI-02, GUI-08</x:v>
      </x:c>
      <x:c r="J147" s="26" t="str">
        <x:v>Frontend + owner-interface owner</x:v>
      </x:c>
      <x:c r="K147" s="26" t="str">
        <x:v>NOT_MAPPED</x:v>
      </x:c>
      <x:c r="L147" s="26" t="str">
        <x:v>NOT_MAPPED</x:v>
      </x:c>
      <x:c r="M147" s="26" t="str">
        <x:v>NOT_APPLICABLE</x:v>
      </x:c>
      <x:c r="N147" s="26" t="str">
        <x:v>No item-level evidence mapping completed in this tracker.</x:v>
      </x:c>
      <x:c r="O147" s="26" t="str">
        <x:v>Map existing exact evidence first; implement only a demonstrated gap, then satisfy this row's closure condition.</x:v>
      </x:c>
      <x:c r="P147" s="26" t="str">
        <x:v>S01, S10 | §25.3</x:v>
      </x:c>
      <x:c r="Q147" s="26" t="str">
        <x:v>https://github.com/sarmadkhan17/Luffy/blob/9385f792f32277bb0b826dba83247b8f5ccf1f8a/SDD.md</x:v>
      </x:c>
    </x:row>
    <x:row r="148" ht="92" customHeight="1">
      <x:c r="A148" s="30" t="str">
        <x:v>GUX-04</x:v>
      </x:c>
      <x:c r="B148" s="26" t="str">
        <x:v>GUI shared behaviour</x:v>
      </x:c>
      <x:c r="C148" s="26" t="str">
        <x:v>BASELINE</x:v>
      </x:c>
      <x:c r="D148" s="26" t="str">
        <x:v>EVIDENCE_TO_MAP</x:v>
      </x:c>
      <x:c r="E148" s="26" t="str">
        <x:v>Handle live updates and reconnect without duplicate or regressed state.</x:v>
      </x:c>
      <x:c r="F148" s="26" t="str">
        <x:v>Streaming UI must remain truthful through connection changes.</x:v>
      </x:c>
      <x:c r="G148" s="26" t="str">
        <x:v>Version/timestamp-aware updates, reconnect and stale warnings keep consistent current state and retained context.</x:v>
      </x:c>
      <x:c r="H148" s="26" t="str">
        <x:v>Out-of-order events, repeated reconnect or request race cannot present older state as newer.</x:v>
      </x:c>
      <x:c r="I148" s="26" t="str">
        <x:v>Prereqs: OWN-04</x:v>
      </x:c>
      <x:c r="J148" s="26" t="str">
        <x:v>Frontend + owner-interface owner</x:v>
      </x:c>
      <x:c r="K148" s="26" t="str">
        <x:v>NOT_MAPPED</x:v>
      </x:c>
      <x:c r="L148" s="26" t="str">
        <x:v>NOT_MAPPED</x:v>
      </x:c>
      <x:c r="M148" s="26" t="str">
        <x:v>NOT_APPLICABLE</x:v>
      </x:c>
      <x:c r="N148" s="26" t="str">
        <x:v>No item-level evidence mapping completed in this tracker.</x:v>
      </x:c>
      <x:c r="O148" s="26" t="str">
        <x:v>Map existing exact evidence first; implement only a demonstrated gap, then satisfy this row's closure condition.</x:v>
      </x:c>
      <x:c r="P148" s="26" t="str">
        <x:v>S01, S10 | §25.1–25.3</x:v>
      </x:c>
      <x:c r="Q148" s="26" t="str">
        <x:v>https://github.com/sarmadkhan17/Luffy/blob/9385f792f32277bb0b826dba83247b8f5ccf1f8a/SDD.md</x:v>
      </x:c>
    </x:row>
    <x:row r="149" ht="92" customHeight="1">
      <x:c r="A149" s="30" t="str">
        <x:v>GUX-05</x:v>
      </x:c>
      <x:c r="B149" s="26" t="str">
        <x:v>GUI shared behaviour</x:v>
      </x:c>
      <x:c r="C149" s="26" t="str">
        <x:v>BASELINE</x:v>
      </x:c>
      <x:c r="D149" s="26" t="str">
        <x:v>EVIDENCE_TO_MAP</x:v>
      </x:c>
      <x:c r="E149" s="26" t="str">
        <x:v>Make controls clear and safe across retries, stale state and loss of connection.</x:v>
      </x:c>
      <x:c r="F149" s="26" t="str">
        <x:v>A click is not proof that an action completed.</x:v>
      </x:c>
      <x:c r="G149" s="26" t="str">
        <x:v>Pending/accepted/refused/failed/completed states match typed audit records; stale/duplicate clicks cannot duplicate authority.</x:v>
      </x:c>
      <x:c r="H149" s="26" t="str">
        <x:v>No optimistic UI success for an uncommitted change; unauthorized controls refuse.</x:v>
      </x:c>
      <x:c r="I149" s="26" t="str">
        <x:v>Prereqs: OWN-02, GUI-04, GUI-05</x:v>
      </x:c>
      <x:c r="J149" s="26" t="str">
        <x:v>Frontend + owner-interface owner</x:v>
      </x:c>
      <x:c r="K149" s="26" t="str">
        <x:v>NOT_MAPPED</x:v>
      </x:c>
      <x:c r="L149" s="26" t="str">
        <x:v>NOT_MAPPED</x:v>
      </x:c>
      <x:c r="M149" s="26" t="str">
        <x:v>NOT_APPLICABLE</x:v>
      </x:c>
      <x:c r="N149" s="26" t="str">
        <x:v>No item-level evidence mapping completed in this tracker.</x:v>
      </x:c>
      <x:c r="O149" s="26" t="str">
        <x:v>Map existing exact evidence first; implement only a demonstrated gap, then satisfy this row's closure condition.</x:v>
      </x:c>
      <x:c r="P149" s="26" t="str">
        <x:v>S01, S10 | §25.4</x:v>
      </x:c>
      <x:c r="Q149" s="26" t="str">
        <x:v>https://github.com/sarmadkhan17/Luffy/blob/9385f792f32277bb0b826dba83247b8f5ccf1f8a/SDD.md</x:v>
      </x:c>
    </x:row>
    <x:row r="150" ht="92" customHeight="1">
      <x:c r="A150" s="30" t="str">
        <x:v>GUX-06</x:v>
      </x:c>
      <x:c r="B150" s="26" t="str">
        <x:v>GUI shared behaviour</x:v>
      </x:c>
      <x:c r="C150" s="26" t="str">
        <x:v>BASELINE</x:v>
      </x:c>
      <x:c r="D150" s="26" t="str">
        <x:v>EVIDENCE_TO_MAP</x:v>
      </x:c>
      <x:c r="E150" s="26" t="str">
        <x:v>Support agreed desktop/mobile sizes and long-content use.</x:v>
      </x:c>
      <x:c r="F150" s="26" t="str">
        <x:v>The owner must read and operate the GUI in practical viewports.</x:v>
      </x:c>
      <x:c r="G150" s="26" t="str">
        <x:v>Agreed viewport journeys show readable tables, panels and controls without clipping or hidden critical state; visual approvals identify viewport.</x:v>
      </x:c>
      <x:c r="H150" s="26" t="str">
        <x:v>Long IDs/text, small viewport and high data counts do not make controls unreachable.</x:v>
      </x:c>
      <x:c r="I150" s="26" t="str">
        <x:v>Prereqs: GUI-01, GUI-09</x:v>
      </x:c>
      <x:c r="J150" s="26" t="str">
        <x:v>Frontend + owner-interface owner</x:v>
      </x:c>
      <x:c r="K150" s="26" t="str">
        <x:v>NOT_MAPPED</x:v>
      </x:c>
      <x:c r="L150" s="26" t="str">
        <x:v>NOT_MAPPED</x:v>
      </x:c>
      <x:c r="M150" s="26" t="str">
        <x:v>NOT_APPLICABLE</x:v>
      </x:c>
      <x:c r="N150" s="26" t="str">
        <x:v>No item-level evidence mapping completed in this tracker.</x:v>
      </x:c>
      <x:c r="O150" s="26" t="str">
        <x:v>Map existing exact evidence first; implement only a demonstrated gap, then satisfy this row's closure condition.</x:v>
      </x:c>
      <x:c r="P150" s="26" t="str">
        <x:v>S01, S10 | Owner GUI coverage; §25</x:v>
      </x:c>
      <x:c r="Q150" s="26" t="str">
        <x:v>https://github.com/sarmadkhan17/Luffy/blob/9385f792f32277bb0b826dba83247b8f5ccf1f8a/SDD.md</x:v>
      </x:c>
    </x:row>
    <x:row r="151" ht="92" customHeight="1">
      <x:c r="A151" s="30" t="str">
        <x:v>GUX-07</x:v>
      </x:c>
      <x:c r="B151" s="26" t="str">
        <x:v>GUI shared behaviour</x:v>
      </x:c>
      <x:c r="C151" s="26" t="str">
        <x:v>BASELINE</x:v>
      </x:c>
      <x:c r="D151" s="26" t="str">
        <x:v>EVIDENCE_TO_MAP</x:v>
      </x:c>
      <x:c r="E151" s="26" t="str">
        <x:v>Support keyboard access, contrast and reduced-motion needs.</x:v>
      </x:c>
      <x:c r="F151" s="26" t="str">
        <x:v>Essential information must not depend on animation or mouse precision.</x:v>
      </x:c>
      <x:c r="G151" s="26" t="str">
        <x:v>Agreed keyboard/focus, contrast, labels and reduced-motion journeys are verified; defects link to specific screens.</x:v>
      </x:c>
      <x:c r="H151" s="26" t="str">
        <x:v>Focus loss, animation failure and reduced quality cannot hide status or action outcome.</x:v>
      </x:c>
      <x:c r="I151" s="26" t="str">
        <x:v>Prereqs: GUX-06</x:v>
      </x:c>
      <x:c r="J151" s="26" t="str">
        <x:v>Frontend + owner-interface owner</x:v>
      </x:c>
      <x:c r="K151" s="26" t="str">
        <x:v>NOT_MAPPED</x:v>
      </x:c>
      <x:c r="L151" s="26" t="str">
        <x:v>NOT_MAPPED</x:v>
      </x:c>
      <x:c r="M151" s="26" t="str">
        <x:v>NOT_APPLICABLE</x:v>
      </x:c>
      <x:c r="N151" s="26" t="str">
        <x:v>No item-level evidence mapping completed in this tracker.</x:v>
      </x:c>
      <x:c r="O151" s="26" t="str">
        <x:v>Map existing exact evidence first; implement only a demonstrated gap, then satisfy this row's closure condition.</x:v>
      </x:c>
      <x:c r="P151" s="26" t="str">
        <x:v>S01, S10 | §25.2; proposed accessibility verification</x:v>
      </x:c>
      <x:c r="Q151" s="26" t="str">
        <x:v>https://github.com/sarmadkhan17/Luffy/blob/9385f792f32277bb0b826dba83247b8f5ccf1f8a/SDD.md</x:v>
      </x:c>
    </x:row>
    <x:row r="152" ht="92" customHeight="1">
      <x:c r="A152" s="30" t="str">
        <x:v>GUX-08</x:v>
      </x:c>
      <x:c r="B152" s="26" t="str">
        <x:v>GUI shared behaviour</x:v>
      </x:c>
      <x:c r="C152" s="26" t="str">
        <x:v>BASELINE</x:v>
      </x:c>
      <x:c r="D152" s="26" t="str">
        <x:v>EVIDENCE_TO_MAP</x:v>
      </x:c>
      <x:c r="E152" s="26" t="str">
        <x:v>Keep 3D and motion selective, adaptive and browser-side.</x:v>
      </x:c>
      <x:c r="F152" s="26" t="str">
        <x:v>Visual effects must not consume trading-core resources.</x:v>
      </x:c>
      <x:c r="G152" s="26" t="str">
        <x:v>Graphics degrade gracefully on the browser/host and never become a backend GPU or runtime safety dependency.</x:v>
      </x:c>
      <x:c r="H152" s="26" t="str">
        <x:v>Disabled WebGL/reduced motion/render failure leaves critical information and controls usable.</x:v>
      </x:c>
      <x:c r="I152" s="26" t="str">
        <x:v>Prereqs: GUI-07</x:v>
      </x:c>
      <x:c r="J152" s="26" t="str">
        <x:v>Frontend + owner-interface owner</x:v>
      </x:c>
      <x:c r="K152" s="26" t="str">
        <x:v>NOT_MAPPED</x:v>
      </x:c>
      <x:c r="L152" s="26" t="str">
        <x:v>NOT_MAPPED</x:v>
      </x:c>
      <x:c r="M152" s="26" t="str">
        <x:v>NOT_APPLICABLE</x:v>
      </x:c>
      <x:c r="N152" s="26" t="str">
        <x:v>No item-level evidence mapping completed in this tracker.</x:v>
      </x:c>
      <x:c r="O152" s="26" t="str">
        <x:v>Map existing exact evidence first; implement only a demonstrated gap, then satisfy this row's closure condition.</x:v>
      </x:c>
      <x:c r="P152" s="26" t="str">
        <x:v>S01, S10 | §25.2</x:v>
      </x:c>
      <x:c r="Q152" s="26" t="str">
        <x:v>https://github.com/sarmadkhan17/Luffy/blob/9385f792f32277bb0b826dba83247b8f5ccf1f8a/SDD.md</x:v>
      </x:c>
    </x:row>
    <x:row r="153" ht="92" customHeight="1">
      <x:c r="A153" s="30" t="str">
        <x:v>GUX-09</x:v>
      </x:c>
      <x:c r="B153" s="26" t="str">
        <x:v>GUI shared behaviour</x:v>
      </x:c>
      <x:c r="C153" s="26" t="str">
        <x:v>BASELINE</x:v>
      </x:c>
      <x:c r="D153" s="26" t="str">
        <x:v>EVIDENCE_TO_MAP</x:v>
      </x:c>
      <x:c r="E153" s="26" t="str">
        <x:v>Bound dashboard query/polling cost against the running system.</x:v>
      </x:c>
      <x:c r="F153" s="26" t="str">
        <x:v>The Dashboard must not recreate the latency/storage incident.</x:v>
      </x:c>
      <x:c r="G153" s="26" t="str">
        <x:v>Measured actual page/query/live-update workload meets agreed UI targets and leaves live safety envelopes intact; targets require approval if not defined.</x:v>
      </x:c>
      <x:c r="H153" s="26" t="str">
        <x:v>No unbounded history decoding, oversized payload request or high-frequency poll starves Kernel/storage.</x:v>
      </x:c>
      <x:c r="I153" s="26" t="str">
        <x:v>Prereqs: RUN-03, DATA-07, MON-05</x:v>
      </x:c>
      <x:c r="J153" s="26" t="str">
        <x:v>Frontend + owner-interface owner</x:v>
      </x:c>
      <x:c r="K153" s="26" t="str">
        <x:v>NOT_MAPPED</x:v>
      </x:c>
      <x:c r="L153" s="26" t="str">
        <x:v>NOT_MAPPED</x:v>
      </x:c>
      <x:c r="M153" s="26" t="str">
        <x:v>NOT_APPLICABLE</x:v>
      </x:c>
      <x:c r="N153" s="26" t="str">
        <x:v>No item-level evidence mapping completed in this tracker.</x:v>
      </x:c>
      <x:c r="O153" s="26" t="str">
        <x:v>Map existing exact evidence first; implement only a demonstrated gap, then satisfy this row's closure condition.</x:v>
      </x:c>
      <x:c r="P153" s="26" t="str">
        <x:v>S01, S10 | §§5.2,25.1–25.3</x:v>
      </x:c>
      <x:c r="Q153" s="26" t="str">
        <x:v>https://github.com/sarmadkhan17/Luffy/blob/9385f792f32277bb0b826dba83247b8f5ccf1f8a/SDD.md</x:v>
      </x:c>
    </x:row>
    <x:row r="154" ht="92" customHeight="1">
      <x:c r="A154" s="30" t="str">
        <x:v>GUX-10</x:v>
      </x:c>
      <x:c r="B154" s="26" t="str">
        <x:v>GUI shared behaviour</x:v>
      </x:c>
      <x:c r="C154" s="26" t="str">
        <x:v>BASELINE</x:v>
      </x:c>
      <x:c r="D154" s="26" t="str">
        <x:v>EVIDENCE_TO_MAP</x:v>
      </x:c>
      <x:c r="E154" s="26" t="str">
        <x:v>Enforce session/authentication and no secrets in the browser.</x:v>
      </x:c>
      <x:c r="F154" s="26" t="str">
        <x:v>Owner-only actions need a real boundary.</x:v>
      </x:c>
      <x:c r="G154" s="26" t="str">
        <x:v>Authenticated reads/actions and session-expiry behavior meet the accepted V1 security contract; current hardening limitations are visible.</x:v>
      </x:c>
      <x:c r="H154" s="26" t="str">
        <x:v>No credentials, venue access or direct monetary DB writes in browser/gateway.</x:v>
      </x:c>
      <x:c r="I154" s="26" t="str">
        <x:v>Prereqs: SEC-01, SEC-02</x:v>
      </x:c>
      <x:c r="J154" s="26" t="str">
        <x:v>Frontend + owner-interface owner</x:v>
      </x:c>
      <x:c r="K154" s="26" t="str">
        <x:v>NOT_MAPPED</x:v>
      </x:c>
      <x:c r="L154" s="26" t="str">
        <x:v>NOT_MAPPED</x:v>
      </x:c>
      <x:c r="M154" s="26" t="str">
        <x:v>NOT_APPLICABLE</x:v>
      </x:c>
      <x:c r="N154" s="26" t="str">
        <x:v>No item-level evidence mapping completed in this tracker.</x:v>
      </x:c>
      <x:c r="O154" s="26" t="str">
        <x:v>Map existing exact evidence first; implement only a demonstrated gap, then satisfy this row's closure condition.</x:v>
      </x:c>
      <x:c r="P154" s="26" t="str">
        <x:v>S01, S10 | §§25.4,26</x:v>
      </x:c>
      <x:c r="Q154" s="26" t="str">
        <x:v>https://github.com/sarmadkhan17/Luffy/blob/9385f792f32277bb0b826dba83247b8f5ccf1f8a/SDD.md</x:v>
      </x:c>
    </x:row>
    <x:row r="155" ht="92" customHeight="1">
      <x:c r="A155" s="30" t="str">
        <x:v>GUX-11</x:v>
      </x:c>
      <x:c r="B155" s="26" t="str">
        <x:v>GUI shared behaviour</x:v>
      </x:c>
      <x:c r="C155" s="26" t="str">
        <x:v>BASELINE</x:v>
      </x:c>
      <x:c r="D155" s="26" t="str">
        <x:v>EVIDENCE_TO_MAP</x:v>
      </x:c>
      <x:c r="E155" s="26" t="str">
        <x:v>Record screen-by-screen evidence rather than a single dashboard PASS.</x:v>
      </x:c>
      <x:c r="F155" s="26" t="str">
        <x:v>Prevents backend tests or screenshots closing unrelated GUI work.</x:v>
      </x:c>
      <x:c r="G155" s="26" t="str">
        <x:v>Each GUI row links functional test, current runtime data source and exact owner visual approval independently.</x:v>
      </x:c>
      <x:c r="H155" s="26" t="str">
        <x:v>No broad Stage8 count or built asset marks all routes approved.</x:v>
      </x:c>
      <x:c r="I155" s="26" t="str">
        <x:v>Prereqs: GOV-04</x:v>
      </x:c>
      <x:c r="J155" s="26" t="str">
        <x:v>Frontend + owner-interface owner</x:v>
      </x:c>
      <x:c r="K155" s="26" t="str">
        <x:v>NOT_MAPPED</x:v>
      </x:c>
      <x:c r="L155" s="26" t="str">
        <x:v>NOT_MAPPED</x:v>
      </x:c>
      <x:c r="M155" s="26" t="str">
        <x:v>NOT_APPLICABLE</x:v>
      </x:c>
      <x:c r="N155" s="26" t="str">
        <x:v>No item-level evidence mapping completed in this tracker.</x:v>
      </x:c>
      <x:c r="O155" s="26" t="str">
        <x:v>Map existing exact evidence first; implement only a demonstrated gap, then satisfy this row's closure condition.</x:v>
      </x:c>
      <x:c r="P155" s="26" t="str">
        <x:v>S01, S10 | Owner GUI tracking requirement</x:v>
      </x:c>
      <x:c r="Q155" s="26" t="str">
        <x:v>https://github.com/sarmadkhan17/Luffy/blob/9385f792f32277bb0b826dba83247b8f5ccf1f8a/SDD.md</x:v>
      </x:c>
    </x:row>
    <x:row r="156" ht="92" customHeight="1">
      <x:c r="A156" s="30" t="str">
        <x:v>REL-01</x:v>
      </x:c>
      <x:c r="B156" s="26" t="str">
        <x:v>Release &amp; expansion</x:v>
      </x:c>
      <x:c r="C156" s="26" t="str">
        <x:v>REAL_MONEY_RELEASE</x:v>
      </x:c>
      <x:c r="D156" s="26" t="str">
        <x:v>AWAITING_OWNER</x:v>
      </x:c>
      <x:c r="E156" s="26" t="str">
        <x:v>Release real-money trading only after separate owner and evidence gates.</x:v>
      </x:c>
      <x:c r="F156" s="26" t="str">
        <x:v>FROZEN/demo success is not a trading activation decision.</x:v>
      </x:c>
      <x:c r="G156" s="26" t="str">
        <x:v>Exact strategy/version/probation, venue/account/cost/capacity, Risk/recovery and explicit owner first-live approvals are satisfied before release.</x:v>
      </x:c>
      <x:c r="H156" s="26" t="str">
        <x:v>No tracker closure, test passing or cash inactivity becomes ACTIVE permission.</x:v>
      </x:c>
      <x:c r="I156" s="26" t="str">
        <x:v>Prereqs: STR-03, RISK-03, EXE-06, LRN-06</x:v>
      </x:c>
      <x:c r="J156" s="26" t="str">
        <x:v>Release &amp; expansion owner</x:v>
      </x:c>
      <x:c r="K156" s="26" t="str">
        <x:v>NOT_MAPPED</x:v>
      </x:c>
      <x:c r="L156" s="26" t="str">
        <x:v>NOT_MAPPED</x:v>
      </x:c>
      <x:c r="M156" s="26" t="str">
        <x:v>NOT_APPLICABLE</x:v>
      </x:c>
      <x:c r="N156" s="26" t="str">
        <x:v>No item-level evidence mapping completed in this tracker.</x:v>
      </x:c>
      <x:c r="O156" s="26" t="str">
        <x:v>Map existing exact evidence first; implement only a demonstrated gap, then satisfy this row's closure condition.</x:v>
      </x:c>
      <x:c r="P156" s="26" t="str">
        <x:v>S01, S09 | §§2.4,14.2,28.7</x:v>
      </x:c>
      <x:c r="Q156" s="26" t="str">
        <x:v>https://github.com/sarmadkhan17/Luffy/blob/9385f792f32277bb0b826dba83247b8f5ccf1f8a/SDD.md</x:v>
      </x:c>
    </x:row>
    <x:row r="157" ht="92" customHeight="1">
      <x:c r="A157" s="30" t="str">
        <x:v>REL-02</x:v>
      </x:c>
      <x:c r="B157" s="26" t="str">
        <x:v>Release &amp; expansion</x:v>
      </x:c>
      <x:c r="C157" s="26" t="str">
        <x:v>LATER_EXPANSION</x:v>
      </x:c>
      <x:c r="D157" s="26" t="str">
        <x:v>DEFERRED</x:v>
      </x:c>
      <x:c r="E157" s="26" t="str">
        <x:v>Expand one market/venue at a time through the full capability chain.</x:v>
      </x:c>
      <x:c r="F157" s="26" t="str">
        <x:v>An API or raw symbol is not supported multi-market trading.</x:v>
      </x:c>
      <x:c r="G157" s="26" t="str">
        <x:v>Each proposed expansion proves data/instrument/research/strategy/Portfolio/Risk/Execution/reconciliation/probation and is owner-scoped.</x:v>
      </x:c>
      <x:c r="H157" s="26" t="str">
        <x:v>No independent unsupported legs or fake market/short/leverage capability.</x:v>
      </x:c>
      <x:c r="I157" s="26" t="str">
        <x:v>Prereqs: DATA-06, REL-01</x:v>
      </x:c>
      <x:c r="J157" s="26" t="str">
        <x:v>Release &amp; expansion owner</x:v>
      </x:c>
      <x:c r="K157" s="26" t="str">
        <x:v>NOT_MAPPED</x:v>
      </x:c>
      <x:c r="L157" s="26" t="str">
        <x:v>NOT_MAPPED</x:v>
      </x:c>
      <x:c r="M157" s="26" t="str">
        <x:v>NOT_APPLICABLE</x:v>
      </x:c>
      <x:c r="N157" s="26" t="str">
        <x:v>No item-level evidence mapping completed in this tracker.</x:v>
      </x:c>
      <x:c r="O157" s="26" t="str">
        <x:v>Map existing exact evidence first; implement only a demonstrated gap, then satisfy this row's closure condition.</x:v>
      </x:c>
      <x:c r="P157" s="26" t="str">
        <x:v>S01, S09 | §§2.2,30 Stage 9</x:v>
      </x:c>
      <x:c r="Q157" s="26" t="str">
        <x:v>https://github.com/sarmadkhan17/Luffy/blob/9385f792f32277bb0b826dba83247b8f5ccf1f8a/SDD.md</x:v>
      </x:c>
    </x:row>
    <x:row r="158" ht="92" customHeight="1">
      <x:c r="A158" s="30" t="str">
        <x:v>REL-03</x:v>
      </x:c>
      <x:c r="B158" s="26" t="str">
        <x:v>Release &amp; expansion</x:v>
      </x:c>
      <x:c r="C158" s="26" t="str">
        <x:v>OPTIONAL_FUTURE</x:v>
      </x:c>
      <x:c r="D158" s="26" t="str">
        <x:v>DEFERRED</x:v>
      </x:c>
      <x:c r="E158" s="26" t="str">
        <x:v>Admit multi-leg/options/ML/paid data only when earned.</x:v>
      </x:c>
      <x:c r="F158" s="26" t="str">
        <x:v>Avoids complexity that does not solve a measured problem.</x:v>
      </x:c>
      <x:c r="G158" s="26" t="str">
        <x:v>Optional capability has measured problem/value, lower-complexity alternatives, cost/rollback and approved SDD change where required.</x:v>
      </x:c>
      <x:c r="H158" s="26" t="str">
        <x:v>Examples in future roadmap are not initial build blockers.</x:v>
      </x:c>
      <x:c r="I158" s="26" t="str">
        <x:v>Prereqs: REL-02, GOV-08</x:v>
      </x:c>
      <x:c r="J158" s="26" t="str">
        <x:v>Release &amp; expansion owner</x:v>
      </x:c>
      <x:c r="K158" s="26" t="str">
        <x:v>NOT_MAPPED</x:v>
      </x:c>
      <x:c r="L158" s="26" t="str">
        <x:v>NOT_MAPPED</x:v>
      </x:c>
      <x:c r="M158" s="26" t="str">
        <x:v>NOT_APPLICABLE</x:v>
      </x:c>
      <x:c r="N158" s="26" t="str">
        <x:v>No item-level evidence mapping completed in this tracker.</x:v>
      </x:c>
      <x:c r="O158" s="26" t="str">
        <x:v>Map existing exact evidence first; implement only a demonstrated gap, then satisfy this row's closure condition.</x:v>
      </x:c>
      <x:c r="P158" s="26" t="str">
        <x:v>S01, S09 | §§2.8,3,30 Stage 10</x:v>
      </x:c>
      <x:c r="Q158" s="26" t="str">
        <x:v>https://github.com/sarmadkhan17/Luffy/blob/9385f792f32277bb0b826dba83247b8f5ccf1f8a/SDD.md</x:v>
      </x:c>
    </x:row>
    <x:row r="159" ht="92" customHeight="1">
      <x:c r="A159" s="30" t="str">
        <x:v>REL-04</x:v>
      </x:c>
      <x:c r="B159" s="26" t="str">
        <x:v>Release &amp; expansion</x:v>
      </x:c>
      <x:c r="C159" s="26" t="str">
        <x:v>BASELINE</x:v>
      </x:c>
      <x:c r="D159" s="26" t="str">
        <x:v>EVIDENCE_TO_MAP</x:v>
      </x:c>
      <x:c r="E159" s="26" t="str">
        <x:v>Demonstrate the complete observe→research→strategy→Portfolio→Risk→outcome→learn→explain loop.</x:v>
      </x:c>
      <x:c r="F159" s="26" t="str">
        <x:v>Isolated modules do not establish the product end goal.</x:v>
      </x:c>
      <x:c r="G159" s="26" t="str">
        <x:v>A prospective authorized scope has exact linked normal-path evidence for the supported loop, honest refusals and bounded updates, with GUI explanation.</x:v>
      </x:c>
      <x:c r="H159" s="26" t="str">
        <x:v>No manual priming, synthetic proof as live evidence, forced trades or silent disabled required component.</x:v>
      </x:c>
      <x:c r="I159" s="26" t="str">
        <x:v>Prereqs: RES-08, STR-03, PORT-08, OUT-03, LRN-06, GUI-02, GUI-05</x:v>
      </x:c>
      <x:c r="J159" s="26" t="str">
        <x:v>Release &amp; expansion owner</x:v>
      </x:c>
      <x:c r="K159" s="26" t="str">
        <x:v>NOT_MAPPED</x:v>
      </x:c>
      <x:c r="L159" s="26" t="str">
        <x:v>NOT_MAPPED</x:v>
      </x:c>
      <x:c r="M159" s="26" t="str">
        <x:v>NOT_APPLICABLE</x:v>
      </x:c>
      <x:c r="N159" s="26" t="str">
        <x:v>No item-level evidence mapping completed in this tracker.</x:v>
      </x:c>
      <x:c r="O159" s="26" t="str">
        <x:v>Map existing exact evidence first; implement only a demonstrated gap, then satisfy this row's closure condition.</x:v>
      </x:c>
      <x:c r="P159" s="26" t="str">
        <x:v>S01, S09 | §§4.2,33,36</x:v>
      </x:c>
      <x:c r="Q159" s="26" t="str">
        <x:v>https://github.com/sarmadkhan17/Luffy/blob/9385f792f32277bb0b826dba83247b8f5ccf1f8a/SDD.md</x:v>
      </x:c>
    </x:row>
    <x:row r="160" ht="92" customHeight="1">
      <x:c r="A160" s="30" t="str">
        <x:v>WORK-01</x:v>
      </x:c>
      <x:c r="B160" s="26" t="str">
        <x:v>Observed issues</x:v>
      </x:c>
      <x:c r="C160" s="26" t="str">
        <x:v>BASELINE</x:v>
      </x:c>
      <x:c r="D160" s="26" t="str">
        <x:v>BLOCKED</x:v>
      </x:c>
      <x:c r="E160" s="26" t="str">
        <x:v>Finish current harness correction and one instrumented FROZEN observation.</x:v>
      </x:c>
      <x:c r="F160" s="26" t="str">
        <x:v>Keep the completed-but-blocked attempt attached to the stable runtime requirement instead of launching another untracked repair.</x:v>
      </x:c>
      <x:c r="G160" s="26" t="str">
        <x:v>Four harness conflicts pass integrated fixtures; then execute the existing authorized observation with exact revision/run/measurements and truthful PASS or external BLOCKED result. No new repair automatically starts.</x:v>
      </x:c>
      <x:c r="H160" s="26" t="str">
        <x:v>Failed preflight launches nothing; old heartbeat cannot boot Dashboard; timing starts at actual first cycle; shutdown timeout retains observers.</x:v>
      </x:c>
      <x:c r="I160" s="26" t="str">
        <x:v>Prereqs: — | Parent: RUN-01, RUN-03, GOV-06</x:v>
      </x:c>
      <x:c r="J160" s="26" t="str">
        <x:v>Assigned local engineering session</x:v>
      </x:c>
      <x:c r="K160" s="26" t="str">
        <x:v>Harness fixture claim only; original patch/hashes await local verification.</x:v>
      </x:c>
      <x:c r="L160" s="26" t="str">
        <x:v>OWNER_REPORTED_BLOCKED_RUN; scheduling-observation-prep-r1-idi3eex0-kernel-1012489</x:v>
      </x:c>
      <x:c r="M160" s="26" t="str">
        <x:v>NOT_APPLICABLE</x:v>
      </x:c>
      <x:c r="N160" s="26" t="str">
        <x:v>S16 owner report: four harness conflicts fixed; 12 pre-run and 13 post-cleanup fixture scenarios. Stop requested at 240.033s; first cycle completed during shutdown at 259.776s. Zero complete window cycles; no ordinary recurring sample; all task services stopped.</x:v>
      </x:c>
      <x:c r="O160" s="26" t="str">
        <x:v>Preserve the blocked attempt. After OPEN-09, use PERF-01 to attribute evidence-store waits and repeated market/evidence work from the retained run. No automatic restart or optimization.</x:v>
      </x:c>
      <x:c r="P160" s="26" t="str">
        <x:v>S11, S15, S16 | Parent requirement(s): RUN-01,RUN-03,GOV-06</x:v>
      </x:c>
      <x:c r="Q160" s="26" t="str">
        <x:v>Current conversation: PREPARED_HARNESS_CONFLICT; correction + fixtures + one observation authorized.</x:v>
      </x:c>
    </x:row>
    <x:row r="161" ht="92" customHeight="1">
      <x:c r="A161" s="30" t="str">
        <x:v>OBS-01</x:v>
      </x:c>
      <x:c r="B161" s="26" t="str">
        <x:v>Observed issues</x:v>
      </x:c>
      <x:c r="C161" s="26" t="str">
        <x:v>BASELINE</x:v>
      </x:c>
      <x:c r="D161" s="26" t="str">
        <x:v>AWAITING_EVIDENCE</x:v>
      </x:c>
      <x:c r="E161" s="26" t="str">
        <x:v>Enforce preflight refusal before any service launch.</x:v>
      </x:c>
      <x:c r="F161" s="26" t="str">
        <x:v>The prepared preflight recorded active safety conditions but did not enforce refusal.</x:v>
      </x:c>
      <x:c r="G161" s="26" t="str">
        <x:v>Machine-readable preflight outcome gates launch; active/unreadable required storage/protection/environment facts yield zero launches.</x:v>
      </x:c>
      <x:c r="H161" s="26" t="str">
        <x:v>Repeat the exact original failure and a nearby adverse variant; verify affected already-closed boundaries without reopening unrelated work.</x:v>
      </x:c>
      <x:c r="I161" s="26" t="str">
        <x:v>Prereqs: — | Parent: RUN-01</x:v>
      </x:c>
      <x:c r="J161" s="26" t="str">
        <x:v>Assigned local engineering session</x:v>
      </x:c>
      <x:c r="K161" s="26" t="str">
        <x:v>SEE_EVIDENCE</x:v>
      </x:c>
      <x:c r="L161" s="26" t="str">
        <x:v>SEE_SCOPE_AND_EVIDENCE</x:v>
      </x:c>
      <x:c r="M161" s="26" t="str">
        <x:v>NOT_APPLICABLE</x:v>
      </x:c>
      <x:c r="N161" s="26" t="str">
        <x:v>Reported in PREPARED_HARNESS_CONFLICT; included in running WORK-01. Final fix evidence not supplied.</x:v>
      </x:c>
      <x:c r="O161" s="26" t="str">
        <x:v>Resolve within the linked parent/active task; capture exact evidence before closure.</x:v>
      </x:c>
      <x:c r="P161" s="26" t="str">
        <x:v>S11, S15 | Parent requirement(s): RUN-01</x:v>
      </x:c>
      <x:c r="Q161" s="26" t="str">
        <x:v>Current conversation: PREPARED_HARNESS_CONFLICT; correction + fixtures + one observation authorized.</x:v>
      </x:c>
    </x:row>
    <x:row r="162" ht="92" customHeight="1">
      <x:c r="A162" s="30" t="str">
        <x:v>OBS-02</x:v>
      </x:c>
      <x:c r="B162" s="26" t="str">
        <x:v>Observed issues</x:v>
      </x:c>
      <x:c r="C162" s="26" t="str">
        <x:v>BASELINE</x:v>
      </x:c>
      <x:c r="D162" s="26" t="str">
        <x:v>AWAITING_EVIDENCE</x:v>
      </x:c>
      <x:c r="E162" s="26" t="str">
        <x:v>Launch Dashboard only after new Kernel boot evidence.</x:v>
      </x:c>
      <x:c r="F162" s="26" t="str">
        <x:v>The prepared launcher started Dashboard immediately.</x:v>
      </x:c>
      <x:c r="G162" s="26" t="str">
        <x:v>Bound new-process boot/FROZEN/genuine heartbeat and blocking-health proof gate Dashboard; PID/sleep/old beat is insufficient.</x:v>
      </x:c>
      <x:c r="H162" s="26" t="str">
        <x:v>Repeat the exact original failure and a nearby adverse variant; verify affected already-closed boundaries without reopening unrelated work.</x:v>
      </x:c>
      <x:c r="I162" s="26" t="str">
        <x:v>Prereqs: — | Parent: RUN-01</x:v>
      </x:c>
      <x:c r="J162" s="26" t="str">
        <x:v>Assigned local engineering session</x:v>
      </x:c>
      <x:c r="K162" s="26" t="str">
        <x:v>SEE_EVIDENCE</x:v>
      </x:c>
      <x:c r="L162" s="26" t="str">
        <x:v>SEE_SCOPE_AND_EVIDENCE</x:v>
      </x:c>
      <x:c r="M162" s="26" t="str">
        <x:v>NOT_APPLICABLE</x:v>
      </x:c>
      <x:c r="N162" s="26" t="str">
        <x:v>Reported in PREPARED_HARNESS_CONFLICT; included in running WORK-01. Final fix evidence not supplied.</x:v>
      </x:c>
      <x:c r="O162" s="26" t="str">
        <x:v>Resolve within the linked parent/active task; capture exact evidence before closure.</x:v>
      </x:c>
      <x:c r="P162" s="26" t="str">
        <x:v>S11, S15 | Parent requirement(s): RUN-01</x:v>
      </x:c>
      <x:c r="Q162" s="26" t="str">
        <x:v>Current conversation: PREPARED_HARNESS_CONFLICT; correction + fixtures + one observation authorized.</x:v>
      </x:c>
    </x:row>
    <x:row r="163" ht="92" customHeight="1">
      <x:c r="A163" s="30" t="str">
        <x:v>OBS-03</x:v>
      </x:c>
      <x:c r="B163" s="26" t="str">
        <x:v>Observed issues</x:v>
      </x:c>
      <x:c r="C163" s="26" t="str">
        <x:v>BASELINE</x:v>
      </x:c>
      <x:c r="D163" s="26" t="str">
        <x:v>AWAITING_EVIDENCE</x:v>
      </x:c>
      <x:c r="E163" s="26" t="str">
        <x:v>Measure the observation hour from actual first-cycle start.</x:v>
      </x:c>
      <x:c r="F163" s="26" t="str">
        <x:v>The prepared collector measured from launch instead.</x:v>
      </x:c>
      <x:c r="G163" s="26" t="str">
        <x:v>One monotonic first-cycle-start boundary defines the hour; first/cold/shutdown cycles are not discarded or relabelled.</x:v>
      </x:c>
      <x:c r="H163" s="26" t="str">
        <x:v>Repeat the exact original failure and a nearby adverse variant; verify affected already-closed boundaries without reopening unrelated work.</x:v>
      </x:c>
      <x:c r="I163" s="26" t="str">
        <x:v>Prereqs: — | Parent: RUN-03</x:v>
      </x:c>
      <x:c r="J163" s="26" t="str">
        <x:v>Assigned local engineering session</x:v>
      </x:c>
      <x:c r="K163" s="26" t="str">
        <x:v>SEE_EVIDENCE</x:v>
      </x:c>
      <x:c r="L163" s="26" t="str">
        <x:v>SEE_SCOPE_AND_EVIDENCE</x:v>
      </x:c>
      <x:c r="M163" s="26" t="str">
        <x:v>NOT_APPLICABLE</x:v>
      </x:c>
      <x:c r="N163" s="26" t="str">
        <x:v>Reported in PREPARED_HARNESS_CONFLICT; included in running WORK-01. Final fix evidence not supplied.</x:v>
      </x:c>
      <x:c r="O163" s="26" t="str">
        <x:v>Resolve within the linked parent/active task; capture exact evidence before closure.</x:v>
      </x:c>
      <x:c r="P163" s="26" t="str">
        <x:v>S11, S15 | Parent requirement(s): RUN-03</x:v>
      </x:c>
      <x:c r="Q163" s="26" t="str">
        <x:v>Current conversation: PREPARED_HARNESS_CONFLICT; correction + fixtures + one observation authorized.</x:v>
      </x:c>
    </x:row>
    <x:row r="164" ht="92" customHeight="1">
      <x:c r="A164" s="30" t="str">
        <x:v>OBS-04</x:v>
      </x:c>
      <x:c r="B164" s="26" t="str">
        <x:v>Observed issues</x:v>
      </x:c>
      <x:c r="C164" s="26" t="str">
        <x:v>BASELINE</x:v>
      </x:c>
      <x:c r="D164" s="26" t="str">
        <x:v>AWAITING_EVIDENCE</x:v>
      </x:c>
      <x:c r="E164" s="26" t="str">
        <x:v>Keep required observers active through unconfirmed shutdown.</x:v>
      </x:c>
      <x:c r="F164" s="26" t="str">
        <x:v>The prepared launcher stopped observers even on service-stop timeout.</x:v>
      </x:c>
      <x:c r="G164" s="26" t="str">
        <x:v>A service-stop timeout retains real observer timers and process identities; only verified terminated services permit cleanup.</x:v>
      </x:c>
      <x:c r="H164" s="26" t="str">
        <x:v>Repeat the exact original failure and a nearby adverse variant; verify affected already-closed boundaries without reopening unrelated work.</x:v>
      </x:c>
      <x:c r="I164" s="26" t="str">
        <x:v>Prereqs: — | Parent: MON-01, RUN-01</x:v>
      </x:c>
      <x:c r="J164" s="26" t="str">
        <x:v>Assigned local engineering session</x:v>
      </x:c>
      <x:c r="K164" s="26" t="str">
        <x:v>SEE_EVIDENCE</x:v>
      </x:c>
      <x:c r="L164" s="26" t="str">
        <x:v>SEE_SCOPE_AND_EVIDENCE</x:v>
      </x:c>
      <x:c r="M164" s="26" t="str">
        <x:v>NOT_APPLICABLE</x:v>
      </x:c>
      <x:c r="N164" s="26" t="str">
        <x:v>Reported in PREPARED_HARNESS_CONFLICT; included in running WORK-01. Final fix evidence not supplied.</x:v>
      </x:c>
      <x:c r="O164" s="26" t="str">
        <x:v>Resolve within the linked parent/active task; capture exact evidence before closure.</x:v>
      </x:c>
      <x:c r="P164" s="26" t="str">
        <x:v>S11, S15 | Parent requirement(s): MON-01,RUN-01</x:v>
      </x:c>
      <x:c r="Q164" s="26" t="str">
        <x:v>Current conversation: PREPARED_HARNESS_CONFLICT; correction + fixtures + one observation authorized.</x:v>
      </x:c>
    </x:row>
    <x:row r="165" ht="92" customHeight="1">
      <x:c r="A165" s="30" t="str">
        <x:v>PERF-01</x:v>
      </x:c>
      <x:c r="B165" s="26" t="str">
        <x:v>Observed issues</x:v>
      </x:c>
      <x:c r="C165" s="26" t="str">
        <x:v>BASELINE</x:v>
      </x:c>
      <x:c r="D165" s="26" t="str">
        <x:v>OPEN</x:v>
      </x:c>
      <x:c r="E165" s="26" t="str">
        <x:v>Establish first-cycle and sustained timing under existing 240s contract.</x:v>
      </x:c>
      <x:c r="F165" s="26" t="str">
        <x:v>Latest retained 266.7s first cycle blocked the one-hour run; shutdown cycle is not a normal distribution.</x:v>
      </x:c>
      <x:c r="G165" s="26" t="str">
        <x:v>Approved instrumented run distinguishes boot/first/recurring/shutdown and establishes agreed safety envelope with unchanged workload and complete gaps, or records precise remaining failure.</x:v>
      </x:c>
      <x:c r="H165" s="26" t="str">
        <x:v>Repeat the exact original failure and a nearby adverse variant; verify affected already-closed boundaries without reopening unrelated work.</x:v>
      </x:c>
      <x:c r="I165" s="26" t="str">
        <x:v>Prereqs: — | Parent: RUN-03</x:v>
      </x:c>
      <x:c r="J165" s="26" t="str">
        <x:v>Assigned local engineering session</x:v>
      </x:c>
      <x:c r="K165" s="26" t="str">
        <x:v>SEE_EVIDENCE</x:v>
      </x:c>
      <x:c r="L165" s="26" t="str">
        <x:v>OWNER_REPORTED_FAILED_FIRST_CYCLE; scheduling-observation-prep-r1-idi3eex0-kernel-1012489</x:v>
      </x:c>
      <x:c r="M165" s="26" t="str">
        <x:v>NOT_APPLICABLE</x:v>
      </x:c>
      <x:c r="N165" s="26" t="str">
        <x:v>S16: first cycle 259.776s, stop requested at 240.033s, 79.281 thread-CPU seconds; 13.13s unattributed exclusive time. evidence.store 30.747s, market.load 21.668s, Journal.query 17.117s, learning.capture.snapshot 15.109s. Recurring timing is NOT_MEASURED.</x:v>
      </x:c>
      <x:c r="O165" s="26" t="str">
        <x:v>Dots first verifies local artifact identities, then attributes existing evidence-store waits/repeated work in a read-only diagnosis. Name one justified change and its closing proof; do not infer CPU/GIL or database-wait causality from wall-minus-CPU.</x:v>
      </x:c>
      <x:c r="P165" s="26" t="str">
        <x:v>S05, S06, S07, S11, S16 | Parent requirement(s): RUN-03</x:v>
      </x:c>
      <x:c r="Q165" s="26" t="str">
        <x:v>https://github.com/sarmadkhan17/Luffy/blob/6da5ad9a895ddb0f5fed9d75904e9639cc731b44/docs/checkpoints/20261005T131532Z/evidence/runtime-observer-attention-repair-r1/final-report.md</x:v>
      </x:c>
    </x:row>
    <x:row r="166" ht="92" customHeight="1">
      <x:c r="A166" s="30" t="str">
        <x:v>PERF-02</x:v>
      </x:c>
      <x:c r="B166" s="26" t="str">
        <x:v>Observed issues</x:v>
      </x:c>
      <x:c r="C166" s="26" t="str">
        <x:v>BASELINE</x:v>
      </x:c>
      <x:c r="D166" s="26" t="str">
        <x:v>CLOSED</x:v>
      </x:c>
      <x:c r="E166" s="26" t="str">
        <x:v>Remove heavy imports from frequent safety/heartbeat observer startup.</x:v>
      </x:c>
      <x:c r="F166" s="26" t="str">
        <x:v>34 observer invocations consumed 70.164 CPU seconds in the recorded window, dominated by imports.</x:v>
      </x:c>
      <x:c r="G166" s="26" t="str">
        <x:v>Patched actual monitor path excludes heavy dependencies; full CLI behavior/safety unchanged; fresh-process focused tests pass. Kernel improvement is a separate item.</x:v>
      </x:c>
      <x:c r="H166" s="26" t="str">
        <x:v>Repeat the exact original failure and a nearby adverse variant; verify affected already-closed boundaries without reopening unrelated work.</x:v>
      </x:c>
      <x:c r="I166" s="26" t="str">
        <x:v>Prereqs: — | Parent: MON-03</x:v>
      </x:c>
      <x:c r="J166" s="26" t="str">
        <x:v>Assigned local engineering session</x:v>
      </x:c>
      <x:c r="K166" s="26" t="str">
        <x:v>REPORTED_FIXED</x:v>
      </x:c>
      <x:c r="L166" s="26" t="str">
        <x:v>SEE_SCOPE_AND_EVIDENCE</x:v>
      </x:c>
      <x:c r="M166" s="26" t="str">
        <x:v>NOT_APPLICABLE</x:v>
      </x:c>
      <x:c r="N166" s="26" t="str">
        <x:v>34 tests reported; median wall import 1.354227s → 0.073787s; exact two-file commit 9385f792…; effect on Kernel remains NOT_YET_MEASURED. S16 observer median imports heartbeat 0.050s/storage 0.049s; total observer CPU 4.627s. No Kernel speedup is causally attributed.</x:v>
      </x:c>
      <x:c r="O166" s="26" t="str">
        <x:v>No new work; reopen only for a reproducible regression.</x:v>
      </x:c>
      <x:c r="P166" s="26" t="str">
        <x:v>S07, S06, S16 | Parent requirement(s): MON-03</x:v>
      </x:c>
      <x:c r="Q166" s="26" t="str">
        <x:v>Conversation upload: Pasted text(20261005-153818).txt</x:v>
      </x:c>
    </x:row>
    <x:row r="167" ht="92" customHeight="1">
      <x:c r="A167" s="30" t="str">
        <x:v>PERF-03</x:v>
      </x:c>
      <x:c r="B167" s="26" t="str">
        <x:v>Observed issues</x:v>
      </x:c>
      <x:c r="C167" s="26" t="str">
        <x:v>BASELINE</x:v>
      </x:c>
      <x:c r="D167" s="26" t="str">
        <x:v>OPEN</x:v>
      </x:c>
      <x:c r="E167" s="26" t="str">
        <x:v>Bring Attention producer capture within its approved budget or resolve the contract explicitly.</x:v>
      </x:c>
      <x:c r="F167" s="26" t="str">
        <x:v>Capture measured ~1,068ms and ~865ms against 50ms advisory budget; substage cause unattributed.</x:v>
      </x:c>
      <x:c r="G167" s="26" t="str">
        <x:v>Measured dominant capture work corrected with provenance/coverage unchanged; actual capture costs meet approved contract. Any policy change needs explicit owner decision, not silent widening.</x:v>
      </x:c>
      <x:c r="H167" s="26" t="str">
        <x:v>Repeat the exact original failure and a nearby adverse variant; verify affected already-closed boundaries without reopening unrelated work.</x:v>
      </x:c>
      <x:c r="I167" s="26" t="str">
        <x:v>Prereqs: — | Parent: ATT-02, RUN-06</x:v>
      </x:c>
      <x:c r="J167" s="26" t="str">
        <x:v>Assigned local engineering session</x:v>
      </x:c>
      <x:c r="K167" s="26" t="str">
        <x:v>SEE_EVIDENCE</x:v>
      </x:c>
      <x:c r="L167" s="26" t="str">
        <x:v>SEE_SCOPE_AND_EVIDENCE</x:v>
      </x:c>
      <x:c r="M167" s="26" t="str">
        <x:v>NOT_APPLICABLE</x:v>
      </x:c>
      <x:c r="N167" s="26" t="str">
        <x:v>S16 capture 535.604ms versus existing 50ms advisory budget; scan and causes proofs recorded. Substage/overhead attribution incomplete; no threshold change approved.</x:v>
      </x:c>
      <x:c r="O167" s="26" t="str">
        <x:v>Resolve within the linked parent/active task; capture exact evidence before closure.</x:v>
      </x:c>
      <x:c r="P167" s="26" t="str">
        <x:v>S05, S06, S16 | Parent requirement(s): ATT-02,RUN-06</x:v>
      </x:c>
      <x:c r="Q167" s="26" t="str">
        <x:v>https://github.com/sarmadkhan17/Luffy/blob/6da5ad9a895ddb0f5fed9d75904e9639cc731b44/docs/checkpoints/20261005T131532Z/evidence/runtime-observer-attention-repair-r1/final-report.md</x:v>
      </x:c>
    </x:row>
    <x:row r="168" ht="92" customHeight="1">
      <x:c r="A168" s="30" t="str">
        <x:v>FIX-01</x:v>
      </x:c>
      <x:c r="B168" s="26" t="str">
        <x:v>Observed issues</x:v>
      </x:c>
      <x:c r="C168" s="26" t="str">
        <x:v>BASELINE</x:v>
      </x:c>
      <x:c r="D168" s="26" t="str">
        <x:v>CLOSED</x:v>
      </x:c>
      <x:c r="E168" s="26" t="str">
        <x:v>Use bounded informative committed-write probes; separate integrity.</x:v>
      </x:c>
      <x:c r="F168" s="26" t="str">
        <x:v>Zero-timeout probe collapsed SQLite errors and could treat legitimate writer contention as generic failure.</x:v>
      </x:c>
      <x:c r="G168" s="26" t="str">
        <x:v>Bounded actual write commit, phase/code diagnostics, independent heartbeat and separate integrity pass real BUSY/FULL/READONLY/IOERR tests; original historical cause remains unknown.</x:v>
      </x:c>
      <x:c r="H168" s="26" t="str">
        <x:v>Repeat the exact original failure and a nearby adverse variant; verify affected already-closed boundaries without reopening unrelated work.</x:v>
      </x:c>
      <x:c r="I168" s="26" t="str">
        <x:v>Prereqs: — | Parent: MON-02, MON-03</x:v>
      </x:c>
      <x:c r="J168" s="26" t="str">
        <x:v>Assigned local engineering session</x:v>
      </x:c>
      <x:c r="K168" s="26" t="str">
        <x:v>REPORTED_FIXED</x:v>
      </x:c>
      <x:c r="L168" s="26" t="str">
        <x:v>SEE_SCOPE_AND_EVIDENCE</x:v>
      </x:c>
      <x:c r="M168" s="26" t="str">
        <x:v>NOT_APPLICABLE</x:v>
      </x:c>
      <x:c r="N168" s="26" t="str">
        <x:v>958c9eb… reported 906 focused checks; 10 runtime committed probes with no SQLite failure in that window. Historical original error was not recoverable.</x:v>
      </x:c>
      <x:c r="O168" s="26" t="str">
        <x:v>No new work; reopen only for a reproducible regression.</x:v>
      </x:c>
      <x:c r="P168" s="26" t="str">
        <x:v>S05 | Parent requirement(s): MON-02,MON-03</x:v>
      </x:c>
      <x:c r="Q168" s="26" t="str">
        <x:v>https://github.com/sarmadkhan17/Luffy/blob/6da5ad9a895ddb0f5fed9d75904e9639cc731b44/docs/checkpoints/20261005T131532Z/evidence/runtime-observer-attention-repair-r1/final-report.md</x:v>
      </x:c>
    </x:row>
    <x:row r="169" ht="92" customHeight="1">
      <x:c r="A169" s="30" t="str">
        <x:v>FIX-02</x:v>
      </x:c>
      <x:c r="B169" s="26" t="str">
        <x:v>Observed issues</x:v>
      </x:c>
      <x:c r="C169" s="26" t="str">
        <x:v>BASELINE</x:v>
      </x:c>
      <x:c r="D169" s="26" t="str">
        <x:v>CLOSED</x:v>
      </x:c>
      <x:c r="E169" s="26" t="str">
        <x:v>Preserve nullable supersedes metadata through Attention transport.</x:v>
      </x:c>
      <x:c r="F169" s="26" t="str">
        <x:v>Optional absent predecessor became pandas NaN and broke strict parent transport.</x:v>
      </x:c>
      <x:c r="G169" s="26" t="str">
        <x:v>Seven retained cases traverse actual Collector/worker/store/completion proof; required invalid/future fields still refuse; failed scans remain distinct from empty valid scans.</x:v>
      </x:c>
      <x:c r="H169" s="26" t="str">
        <x:v>Repeat the exact original failure and a nearby adverse variant; verify affected already-closed boundaries without reopening unrelated work.</x:v>
      </x:c>
      <x:c r="I169" s="26" t="str">
        <x:v>Prereqs: — | Parent: ATT-02</x:v>
      </x:c>
      <x:c r="J169" s="26" t="str">
        <x:v>Assigned local engineering session</x:v>
      </x:c>
      <x:c r="K169" s="26" t="str">
        <x:v>REPORTED_FIXED</x:v>
      </x:c>
      <x:c r="L169" s="26" t="str">
        <x:v>SEE_SCOPE_AND_EVIDENCE</x:v>
      </x:c>
      <x:c r="M169" s="26" t="str">
        <x:v>NOT_APPLICABLE</x:v>
      </x:c>
      <x:c r="N169" s="26" t="str">
        <x:v>958c9eb… normal scan completed; 16 warmup refusals, zero live worker/capture errors in limited window. Reconstructed original cuts explicitly labelled.</x:v>
      </x:c>
      <x:c r="O169" s="26" t="str">
        <x:v>No new work; reopen only for a reproducible regression.</x:v>
      </x:c>
      <x:c r="P169" s="26" t="str">
        <x:v>S05 | Parent requirement(s): ATT-02</x:v>
      </x:c>
      <x:c r="Q169" s="26" t="str">
        <x:v>https://github.com/sarmadkhan17/Luffy/blob/6da5ad9a895ddb0f5fed9d75904e9639cc731b44/docs/checkpoints/20261005T131532Z/evidence/runtime-observer-attention-repair-r1/final-report.md</x:v>
      </x:c>
    </x:row>
    <x:row r="170" ht="92" customHeight="1">
      <x:c r="A170" s="30" t="str">
        <x:v>FIX-03</x:v>
      </x:c>
      <x:c r="B170" s="26" t="str">
        <x:v>Observed issues</x:v>
      </x:c>
      <x:c r="C170" s="26" t="str">
        <x:v>BASELINE</x:v>
      </x:c>
      <x:c r="D170" s="26" t="str">
        <x:v>CLOSED</x:v>
      </x:c>
      <x:c r="E170" s="26" t="str">
        <x:v>Normalize optional nullable target metadata without coercing required NaN.</x:v>
      </x:c>
      <x:c r="F170" s="26" t="str">
        <x:v>Two forward captures refused absent supersedes represented as NaN.</x:v>
      </x:c>
      <x:c r="G170" s="26" t="str">
        <x:v>Exact retained target paths replay COMPLETE in isolated fixtures without duplicate retries; required non-finite values still refuse; production historical refusals are preserved.</x:v>
      </x:c>
      <x:c r="H170" s="26" t="str">
        <x:v>Repeat the exact original failure and a nearby adverse variant; verify affected already-closed boundaries without reopening unrelated work.</x:v>
      </x:c>
      <x:c r="I170" s="26" t="str">
        <x:v>Prereqs: — | Parent: OUT-02, LRN-01</x:v>
      </x:c>
      <x:c r="J170" s="26" t="str">
        <x:v>Assigned local engineering session</x:v>
      </x:c>
      <x:c r="K170" s="26" t="str">
        <x:v>REPORTED_FIXED</x:v>
      </x:c>
      <x:c r="L170" s="26" t="str">
        <x:v>SEE_SCOPE_AND_EVIDENCE</x:v>
      </x:c>
      <x:c r="M170" s="26" t="str">
        <x:v>NOT_APPLICABLE</x:v>
      </x:c>
      <x:c r="N170" s="26" t="str">
        <x:v>HYPE/QNT retained cases fixed at 958c9eb…; no historical backfill authorized.</x:v>
      </x:c>
      <x:c r="O170" s="26" t="str">
        <x:v>No new work; reopen only for a reproducible regression.</x:v>
      </x:c>
      <x:c r="P170" s="26" t="str">
        <x:v>S05 | Parent requirement(s): OUT-02,LRN-01</x:v>
      </x:c>
      <x:c r="Q170" s="26" t="str">
        <x:v>https://github.com/sarmadkhan17/Luffy/blob/6da5ad9a895ddb0f5fed9d75904e9639cc731b44/docs/checkpoints/20261005T131532Z/evidence/runtime-observer-attention-repair-r1/final-report.md</x:v>
      </x:c>
    </x:row>
    <x:row r="171" ht="92" customHeight="1">
      <x:c r="A171" s="30" t="str">
        <x:v>FIX-04</x:v>
      </x:c>
      <x:c r="B171" s="26" t="str">
        <x:v>Observed issues</x:v>
      </x:c>
      <x:c r="C171" s="26" t="str">
        <x:v>BASELINE</x:v>
      </x:c>
      <x:c r="D171" s="26" t="str">
        <x:v>CLOSED</x:v>
      </x:c>
      <x:c r="E171" s="26" t="str">
        <x:v>Eliminate multiplied universe/provenance evidence storage.</x:v>
      </x:c>
      <x:c r="F171" s="26" t="str">
        <x:v>brain_events occupied 65.123GB; a cycle wrote ~637MB repeated detail and filled the volume.</x:v>
      </x:c>
      <x:c r="G171" s="26" t="str">
        <x:v>Lossless exact references/readers preserve all events and historical hashes; representative and multi-cycle storage grow by unique evidence/reference metadata, not repeated histories.</x:v>
      </x:c>
      <x:c r="H171" s="26" t="str">
        <x:v>Repeat the exact original failure and a nearby adverse variant; verify affected already-closed boundaries without reopening unrelated work.</x:v>
      </x:c>
      <x:c r="I171" s="26" t="str">
        <x:v>Prereqs: — | Parent: DATA-07, DATA-12</x:v>
      </x:c>
      <x:c r="J171" s="26" t="str">
        <x:v>Assigned local engineering session</x:v>
      </x:c>
      <x:c r="K171" s="26" t="str">
        <x:v>REPORTED_FIXED</x:v>
      </x:c>
      <x:c r="L171" s="26" t="str">
        <x:v>SEE_SCOPE_AND_EVIDENCE</x:v>
      </x:c>
      <x:c r="M171" s="26" t="str">
        <x:v>NOT_APPLICABLE</x:v>
      </x:c>
      <x:c r="N171" s="26" t="str">
        <x:v>4,696 events preserved; compact candidate ~2.89GB; installed later; bounded runtime storage observation improved. All-writer long-term retention remains separate.</x:v>
      </x:c>
      <x:c r="O171" s="26" t="str">
        <x:v>No new work; reopen only for a reproducible regression.</x:v>
      </x:c>
      <x:c r="P171" s="26" t="str">
        <x:v>S13, S08 | Parent requirement(s): DATA-07,DATA-12</x:v>
      </x:c>
      <x:c r="Q171" s="26" t="str">
        <x:v>Current conversation: STORAGE_AND_SPEND_CONTAINMENT; LOSSLESS_JOURNAL_WRITER_REPAIR; COMPACT_CUTOVER_AND_CLEANUP; BOUNDED_EVIDENCE_LATENCY.</x:v>
      </x:c>
    </x:row>
    <x:row r="172" ht="92" customHeight="1">
      <x:c r="A172" s="30" t="str">
        <x:v>FIX-05</x:v>
      </x:c>
      <x:c r="B172" s="26" t="str">
        <x:v>Observed issues</x:v>
      </x:c>
      <x:c r="C172" s="26" t="str">
        <x:v>BASELINE</x:v>
      </x:c>
      <x:c r="D172" s="26" t="str">
        <x:v>CLOSED</x:v>
      </x:c>
      <x:c r="E172" s="26" t="str">
        <x:v>Pass bounded verified Attention source into Portfolio without full repeated receipts.</x:v>
      </x:c>
      <x:c r="F172" s="26" t="str">
        <x:v>Normal Attention scan was 16,226,290 bytes versus 2,097,152 reader bound.</x:v>
      </x:c>
      <x:c r="G172" s="26" t="str">
        <x:v>Actual producer/reader pass at observed scale through exact immutable references within original limit/deadline; no dropped evidence or fabricated current data.</x:v>
      </x:c>
      <x:c r="H172" s="26" t="str">
        <x:v>Repeat the exact original failure and a nearby adverse variant; verify affected already-closed boundaries without reopening unrelated work.</x:v>
      </x:c>
      <x:c r="I172" s="26" t="str">
        <x:v>Prereqs: — | Parent: PORT-08, ATT-02</x:v>
      </x:c>
      <x:c r="J172" s="26" t="str">
        <x:v>Assigned local engineering session</x:v>
      </x:c>
      <x:c r="K172" s="26" t="str">
        <x:v>REPORTED_FIXED</x:v>
      </x:c>
      <x:c r="L172" s="26" t="str">
        <x:v>SEE_SCOPE_AND_EVIDENCE</x:v>
      </x:c>
      <x:c r="M172" s="26" t="str">
        <x:v>NOT_APPLICABLE</x:v>
      </x:c>
      <x:c r="N172" s="26" t="str">
        <x:v>b880e52… reader 1.004–2.057s; later source-reader exact hash proof passed.</x:v>
      </x:c>
      <x:c r="O172" s="26" t="str">
        <x:v>No new work; reopen only for a reproducible regression.</x:v>
      </x:c>
      <x:c r="P172" s="26" t="str">
        <x:v>S05, S13 | Parent requirement(s): PORT-08,ATT-02</x:v>
      </x:c>
      <x:c r="Q172" s="26" t="str">
        <x:v>https://github.com/sarmadkhan17/Luffy/blob/6da5ad9a895ddb0f5fed9d75904e9639cc731b44/docs/checkpoints/20261005T131532Z/evidence/runtime-observer-attention-repair-r1/final-report.md</x:v>
      </x:c>
    </x:row>
    <x:row r="173" ht="92" customHeight="1">
      <x:c r="A173" s="30" t="str">
        <x:v>FIX-06</x:v>
      </x:c>
      <x:c r="B173" s="26" t="str">
        <x:v>Observed issues</x:v>
      </x:c>
      <x:c r="C173" s="26" t="str">
        <x:v>BASELINE</x:v>
      </x:c>
      <x:c r="D173" s="26" t="str">
        <x:v>CLOSED</x:v>
      </x:c>
      <x:c r="E173" s="26" t="str">
        <x:v>Enforce brain.enabled=false at the actual provider admission boundary.</x:v>
      </x:c>
      <x:c r="F173" s="26" t="str">
        <x:v>A successful DeepSeek request contradicted the claimed disabled state; original admission ignored enabled.</x:v>
      </x:c>
      <x:c r="G173" s="26" t="str">
        <x:v>All relevant shared call paths make zero fake/real attempts while disabled; budgets/usage preserved; actual caller attribution handled separately.</x:v>
      </x:c>
      <x:c r="H173" s="26" t="str">
        <x:v>Repeat the exact original failure and a nearby adverse variant; verify affected already-closed boundaries without reopening unrelated work.</x:v>
      </x:c>
      <x:c r="I173" s="26" t="str">
        <x:v>Prereqs: — | Parent: LLM-02</x:v>
      </x:c>
      <x:c r="J173" s="26" t="str">
        <x:v>Assigned local engineering session</x:v>
      </x:c>
      <x:c r="K173" s="26" t="str">
        <x:v>REPORTED_FIXED</x:v>
      </x:c>
      <x:c r="L173" s="26" t="str">
        <x:v>SEE_SCOPE_AND_EVIDENCE</x:v>
      </x:c>
      <x:c r="M173" s="26" t="str">
        <x:v>NOT_APPLICABLE</x:v>
      </x:c>
      <x:c r="N173" s="26" t="str">
        <x:v>Patched disablement test passed; subsequent bounded windows reported zero attempts/unchanged ledger.</x:v>
      </x:c>
      <x:c r="O173" s="26" t="str">
        <x:v>No new work; reopen only for a reproducible regression.</x:v>
      </x:c>
      <x:c r="P173" s="26" t="str">
        <x:v>S13, S05, S07 | Parent requirement(s): LLM-02</x:v>
      </x:c>
      <x:c r="Q173" s="26" t="str">
        <x:v>Current conversation: STORAGE_AND_SPEND_CONTAINMENT; LOSSLESS_JOURNAL_WRITER_REPAIR; COMPACT_CUTOVER_AND_CLEANUP; BOUNDED_EVIDENCE_LATENCY.</x:v>
      </x:c>
    </x:row>
    <x:row r="174" ht="92" customHeight="1">
      <x:c r="A174" s="30" t="str">
        <x:v>OPEN-01</x:v>
      </x:c>
      <x:c r="B174" s="26" t="str">
        <x:v>Observed issues</x:v>
      </x:c>
      <x:c r="C174" s="26" t="str">
        <x:v>BASELINE</x:v>
      </x:c>
      <x:c r="D174" s="26" t="str">
        <x:v>OPEN</x:v>
      </x:c>
      <x:c r="E174" s="26" t="str">
        <x:v>Explain and resolve research execution starvation under the existing busy gate.</x:v>
      </x:c>
      <x:c r="F174" s="26" t="str">
        <x:v>Cycles can be below 240s yet all exceed the research 45s busy threshold.</x:v>
      </x:c>
      <x:c r="G174" s="26" t="str">
        <x:v>Worker attempt/gate/resource evidence establishes intended research scheduling and supported progress when eligible, without starving safety or silently relaxing policy.</x:v>
      </x:c>
      <x:c r="H174" s="26" t="str">
        <x:v>Repeat the exact original failure and a nearby adverse variant; verify affected already-closed boundaries without reopening unrelated work.</x:v>
      </x:c>
      <x:c r="I174" s="26" t="str">
        <x:v>Prereqs: — | Parent: RUN-04, RES-09</x:v>
      </x:c>
      <x:c r="J174" s="26" t="str">
        <x:v>Assigned local engineering session</x:v>
      </x:c>
      <x:c r="K174" s="26" t="str">
        <x:v>SEE_EVIDENCE</x:v>
      </x:c>
      <x:c r="L174" s="26" t="str">
        <x:v>SEE_SCOPE_AND_EVIDENCE</x:v>
      </x:c>
      <x:c r="M174" s="26" t="str">
        <x:v>NOT_APPLICABLE</x:v>
      </x:c>
      <x:c r="N174" s="26" t="str">
        <x:v>Retained worker map: 300s startup delay, 60s checks, 45s busy gate; no experiment output observed. Latest S16 task ended before research's 300s initial wake: no busy-gate refusal was observed in that attempt. Earlier gate observations remain historical.</x:v>
      </x:c>
      <x:c r="O174" s="26" t="str">
        <x:v>Resolve within the linked parent/active task; capture exact evidence before closure.</x:v>
      </x:c>
      <x:c r="P174" s="26" t="str">
        <x:v>S05, S06, S16 | Parent requirement(s): RUN-04,RES-09</x:v>
      </x:c>
      <x:c r="Q174" s="26" t="str">
        <x:v>https://github.com/sarmadkhan17/Luffy/blob/6da5ad9a895ddb0f5fed9d75904e9639cc731b44/docs/checkpoints/20261005T131532Z/evidence/runtime-observer-attention-repair-r1/final-report.md</x:v>
      </x:c>
    </x:row>
    <x:row r="175" ht="92" customHeight="1">
      <x:c r="A175" s="30" t="str">
        <x:v>OPEN-02</x:v>
      </x:c>
      <x:c r="B175" s="26" t="str">
        <x:v>Observed issues</x:v>
      </x:c>
      <x:c r="C175" s="26" t="str">
        <x:v>BASELINE</x:v>
      </x:c>
      <x:c r="D175" s="26" t="str">
        <x:v>AWAITING_OWNER</x:v>
      </x:c>
      <x:c r="E175" s="26" t="str">
        <x:v>Make external question-driven worker rollout explicit.</x:v>
      </x:c>
      <x:c r="F175" s="26" t="str">
        <x:v>Supported CLI exists, but source inspection found no automatic Kernel/watchdog launcher and no retained execution proof.</x:v>
      </x:c>
      <x:c r="G175" s="26" t="str">
        <x:v>Approved observation/release scope identifies launcher/configuration and demonstrates generated question→normal worker→Bank with authority unchanged, or explicitly defers that rollout.</x:v>
      </x:c>
      <x:c r="H175" s="26" t="str">
        <x:v>Repeat the exact original failure and a nearby adverse variant; verify affected already-closed boundaries without reopening unrelated work.</x:v>
      </x:c>
      <x:c r="I175" s="26" t="str">
        <x:v>Prereqs: — | Parent: RES-02, RES-09</x:v>
      </x:c>
      <x:c r="J175" s="26" t="str">
        <x:v>Assigned local engineering session</x:v>
      </x:c>
      <x:c r="K175" s="26" t="str">
        <x:v>SEE_EVIDENCE</x:v>
      </x:c>
      <x:c r="L175" s="26" t="str">
        <x:v>SEE_SCOPE_AND_EVIDENCE</x:v>
      </x:c>
      <x:c r="M175" s="26" t="str">
        <x:v>NOT_APPLICABLE</x:v>
      </x:c>
      <x:c r="N175" s="26" t="str">
        <x:v>S06 distinguishes the external question-driven CLI from busy-gated quant research.</x:v>
      </x:c>
      <x:c r="O175" s="26" t="str">
        <x:v>Resolve within the linked parent/active task; capture exact evidence before closure.</x:v>
      </x:c>
      <x:c r="P175" s="26" t="str">
        <x:v>S06 | Parent requirement(s): RES-02,RES-09</x:v>
      </x:c>
      <x:c r="Q175" s="26" t="str">
        <x:v>Conversation upload: Pasted text(20261005-151918).txt</x:v>
      </x:c>
    </x:row>
    <x:row r="176" ht="92" customHeight="1">
      <x:c r="A176" s="30" t="str">
        <x:v>OPEN-03</x:v>
      </x:c>
      <x:c r="B176" s="26" t="str">
        <x:v>Observed issues</x:v>
      </x:c>
      <x:c r="C176" s="26" t="str">
        <x:v>BASELINE</x:v>
      </x:c>
      <x:c r="D176" s="26" t="str">
        <x:v>AWAITING_OWNER</x:v>
      </x:c>
      <x:c r="E176" s="26" t="str">
        <x:v>Define intended FROZEN observation worker coverage.</x:v>
      </x:c>
      <x:c r="F176" s="26" t="str">
        <x:v>watchdog.off also suppresses accounting, investigations, population and Attention-learning, not only restarts.</x:v>
      </x:c>
      <x:c r="G176" s="26" t="str">
        <x:v>An owner-approved workload map identifies what will run/why and what that run can prove; disabled parts are not falsely marked operational.</x:v>
      </x:c>
      <x:c r="H176" s="26" t="str">
        <x:v>Repeat the exact original failure and a nearby adverse variant; verify affected already-closed boundaries without reopening unrelated work.</x:v>
      </x:c>
      <x:c r="I176" s="26" t="str">
        <x:v>Prereqs: — | Parent: RUN-04, OWN-04</x:v>
      </x:c>
      <x:c r="J176" s="26" t="str">
        <x:v>Assigned local engineering session</x:v>
      </x:c>
      <x:c r="K176" s="26" t="str">
        <x:v>SEE_EVIDENCE</x:v>
      </x:c>
      <x:c r="L176" s="26" t="str">
        <x:v>SEE_SCOPE_AND_EVIDENCE</x:v>
      </x:c>
      <x:c r="M176" s="26" t="str">
        <x:v>NOT_APPLICABLE</x:v>
      </x:c>
      <x:c r="N176" s="26" t="str">
        <x:v>Flags/configs may be enabled but watchdog early-return suppresses launch. Current task preserves this workload.</x:v>
      </x:c>
      <x:c r="O176" s="26" t="str">
        <x:v>Resolve within the linked parent/active task; capture exact evidence before closure.</x:v>
      </x:c>
      <x:c r="P176" s="26" t="str">
        <x:v>S05, S06, S15 | Parent requirement(s): RUN-04,OWN-04</x:v>
      </x:c>
      <x:c r="Q176" s="26" t="str">
        <x:v>https://github.com/sarmadkhan17/Luffy/blob/6da5ad9a895ddb0f5fed9d75904e9639cc731b44/docs/checkpoints/20261005T131532Z/evidence/runtime-observer-attention-repair-r1/final-report.md</x:v>
      </x:c>
    </x:row>
    <x:row r="177" ht="92" customHeight="1">
      <x:c r="A177" s="30" t="str">
        <x:v>OPEN-04</x:v>
      </x:c>
      <x:c r="B177" s="26" t="str">
        <x:v>Observed issues</x:v>
      </x:c>
      <x:c r="C177" s="26" t="str">
        <x:v>BASELINE</x:v>
      </x:c>
      <x:c r="D177" s="26" t="str">
        <x:v>OPEN</x:v>
      </x:c>
      <x:c r="E177" s="26" t="str">
        <x:v>Add exact journal logical retry idempotency where still absent.</x:v>
      </x:c>
      <x:c r="F177" s="26" t="str">
        <x:v>Compacted identical append retry reuses payload but adds another event reference.</x:v>
      </x:c>
      <x:c r="G177" s="26" t="str">
        <x:v>Measured actual writer distinguishes retry identity from a distinct observation; retry adds no second event and reconstruction/legacy behavior stay valid.</x:v>
      </x:c>
      <x:c r="H177" s="26" t="str">
        <x:v>Repeat the exact original failure and a nearby adverse variant; verify affected already-closed boundaries without reopening unrelated work.</x:v>
      </x:c>
      <x:c r="I177" s="26" t="str">
        <x:v>Prereqs: — | Parent: DATA-08</x:v>
      </x:c>
      <x:c r="J177" s="26" t="str">
        <x:v>Assigned local engineering session</x:v>
      </x:c>
      <x:c r="K177" s="26" t="str">
        <x:v>SEE_EVIDENCE</x:v>
      </x:c>
      <x:c r="L177" s="26" t="str">
        <x:v>SEE_SCOPE_AND_EVIDENCE</x:v>
      </x:c>
      <x:c r="M177" s="26" t="str">
        <x:v>NOT_APPLICABLE</x:v>
      </x:c>
      <x:c r="N177" s="26" t="str">
        <x:v>S08: learning-registration retry adds zero; journal append retry adds references. Current revision recheck required before implementation.</x:v>
      </x:c>
      <x:c r="O177" s="26" t="str">
        <x:v>Resolve within the linked parent/active task; capture exact evidence before closure.</x:v>
      </x:c>
      <x:c r="P177" s="26" t="str">
        <x:v>S08 | Parent requirement(s): DATA-08</x:v>
      </x:c>
      <x:c r="Q177" s="26" t="str">
        <x:v>Conversation upload: Pasted text(20261004-185011).txt</x:v>
      </x:c>
    </x:row>
    <x:row r="178" ht="92" customHeight="1">
      <x:c r="A178" s="30" t="str">
        <x:v>OPEN-05</x:v>
      </x:c>
      <x:c r="B178" s="26" t="str">
        <x:v>Observed issues</x:v>
      </x:c>
      <x:c r="C178" s="26" t="str">
        <x:v>BASELINE</x:v>
      </x:c>
      <x:c r="D178" s="26" t="str">
        <x:v>OPEN</x:v>
      </x:c>
      <x:c r="E178" s="26" t="str">
        <x:v>Evaluate remaining vote/replay/source-metadata duplication.</x:v>
      </x:c>
      <x:c r="F178" s="26" t="str">
        <x:v>Inventory measured 557.45MB repeated vote text and 10.90MB embedded replay strings.</x:v>
      </x:c>
      <x:c r="G178" s="26" t="str">
        <x:v>Recheck current representation, then justify any lossless change by measured saving including index/reference overhead; retain exact observation/time semantics.</x:v>
      </x:c>
      <x:c r="H178" s="26" t="str">
        <x:v>Repeat the exact original failure and a nearby adverse variant; verify affected already-closed boundaries without reopening unrelated work.</x:v>
      </x:c>
      <x:c r="I178" s="26" t="str">
        <x:v>Prereqs: — | Parent: DATA-07</x:v>
      </x:c>
      <x:c r="J178" s="26" t="str">
        <x:v>Assigned local engineering session</x:v>
      </x:c>
      <x:c r="K178" s="26" t="str">
        <x:v>SEE_EVIDENCE</x:v>
      </x:c>
      <x:c r="L178" s="26" t="str">
        <x:v>SEE_SCOPE_AND_EVIDENCE</x:v>
      </x:c>
      <x:c r="M178" s="26" t="str">
        <x:v>NOT_APPLICABLE</x:v>
      </x:c>
      <x:c r="N178" s="26" t="str">
        <x:v>Inventory is historical/partial; logical repeated bytes are not guaranteed physical savings; all audited blobs referenced.</x:v>
      </x:c>
      <x:c r="O178" s="26" t="str">
        <x:v>Resolve within the linked parent/active task; capture exact evidence before closure.</x:v>
      </x:c>
      <x:c r="P178" s="26" t="str">
        <x:v>S08 | Parent requirement(s): DATA-07</x:v>
      </x:c>
      <x:c r="Q178" s="26" t="str">
        <x:v>Conversation upload: Pasted text(20261004-185011).txt</x:v>
      </x:c>
    </x:row>
    <x:row r="179" ht="92" customHeight="1">
      <x:c r="A179" s="30" t="str">
        <x:v>OPEN-06</x:v>
      </x:c>
      <x:c r="B179" s="26" t="str">
        <x:v>Observed issues</x:v>
      </x:c>
      <x:c r="C179" s="26" t="str">
        <x:v>BASELINE</x:v>
      </x:c>
      <x:c r="D179" s="26" t="str">
        <x:v>AWAITING_OWNER</x:v>
      </x:c>
      <x:c r="E179" s="26" t="str">
        <x:v>Approve cross-store usefulness, retention and archival rules.</x:v>
      </x:c>
      <x:c r="F179" s="26" t="str">
        <x:v>No entire active collection proven useless; journal/Portfolio append history lacks unified policy.</x:v>
      </x:c>
      <x:c r="G179" s="26" t="str">
        <x:v>Each collection has purpose, measured growth, dependencies and approved action. Retention cannot silently destroy exact required replay or failed research.</x:v>
      </x:c>
      <x:c r="H179" s="26" t="str">
        <x:v>Repeat the exact original failure and a nearby adverse variant; verify affected already-closed boundaries without reopening unrelated work.</x:v>
      </x:c>
      <x:c r="I179" s="26" t="str">
        <x:v>Prereqs: — | Parent: DATA-09</x:v>
      </x:c>
      <x:c r="J179" s="26" t="str">
        <x:v>Assigned local engineering session</x:v>
      </x:c>
      <x:c r="K179" s="26" t="str">
        <x:v>SEE_EVIDENCE</x:v>
      </x:c>
      <x:c r="L179" s="26" t="str">
        <x:v>SEE_SCOPE_AND_EVIDENCE</x:v>
      </x:c>
      <x:c r="M179" s="26" t="str">
        <x:v>NOT_APPLICABLE</x:v>
      </x:c>
      <x:c r="N179" s="26" t="str">
        <x:v>S08 covers 71 tables and major stores, not every cross-store relationship; original owner wants no redundant/useless collection.</x:v>
      </x:c>
      <x:c r="O179" s="26" t="str">
        <x:v>Resolve within the linked parent/active task; capture exact evidence before closure.</x:v>
      </x:c>
      <x:c r="P179" s="26" t="str">
        <x:v>S08, S09 | Parent requirement(s): DATA-09</x:v>
      </x:c>
      <x:c r="Q179" s="26" t="str">
        <x:v>Conversation upload: Pasted text(20261004-185011).txt</x:v>
      </x:c>
    </x:row>
    <x:row r="180" ht="92" customHeight="1">
      <x:c r="A180" s="30" t="str">
        <x:v>OPEN-07</x:v>
      </x:c>
      <x:c r="B180" s="26" t="str">
        <x:v>Observed issues</x:v>
      </x:c>
      <x:c r="C180" s="26" t="str">
        <x:v>BASELINE</x:v>
      </x:c>
      <x:c r="D180" s="26" t="str">
        <x:v>AWAITING_EVIDENCE</x:v>
      </x:c>
      <x:c r="E180" s="26" t="str">
        <x:v>Establish prospective terminal decision/outcome/learning completeness.</x:v>
      </x:c>
      <x:c r="F180" s="26" t="str">
        <x:v>Historical 2,990 chains incomplete and some execution/decision linkages absent; new producer health must be tested prospectively.</x:v>
      </x:c>
      <x:c r="G180" s="26" t="str">
        <x:v>A new eligible normal chain reaches correct terminal measurement/replay under its actual stage contract; missing horizons/roles stay explicit. No old-data reconstruction required.</x:v>
      </x:c>
      <x:c r="H180" s="26" t="str">
        <x:v>Repeat the exact original failure and a nearby adverse variant; verify affected already-closed boundaries without reopening unrelated work.</x:v>
      </x:c>
      <x:c r="I180" s="26" t="str">
        <x:v>Prereqs: — | Parent: OUT-01, OUT-02, LRN-01</x:v>
      </x:c>
      <x:c r="J180" s="26" t="str">
        <x:v>Assigned local engineering session</x:v>
      </x:c>
      <x:c r="K180" s="26" t="str">
        <x:v>SEE_EVIDENCE</x:v>
      </x:c>
      <x:c r="L180" s="26" t="str">
        <x:v>SEE_SCOPE_AND_EVIDENCE</x:v>
      </x:c>
      <x:c r="M180" s="26" t="str">
        <x:v>NOT_APPLICABLE</x:v>
      </x:c>
      <x:c r="N180" s="26" t="str">
        <x:v>S08 historical inventory; later NaN fix proves two isolated paths, not all prospective learning maturity.</x:v>
      </x:c>
      <x:c r="O180" s="26" t="str">
        <x:v>Resolve within the linked parent/active task; capture exact evidence before closure.</x:v>
      </x:c>
      <x:c r="P180" s="26" t="str">
        <x:v>S08, S05 | Parent requirement(s): OUT-01,OUT-02,LRN-01</x:v>
      </x:c>
      <x:c r="Q180" s="26" t="str">
        <x:v>Conversation upload: Pasted text(20261004-185011).txt</x:v>
      </x:c>
    </x:row>
    <x:row r="181" ht="92" customHeight="1">
      <x:c r="A181" s="30" t="str">
        <x:v>OPEN-08</x:v>
      </x:c>
      <x:c r="B181" s="26" t="str">
        <x:v>Observed issues</x:v>
      </x:c>
      <x:c r="C181" s="26" t="str">
        <x:v>BASELINE</x:v>
      </x:c>
      <x:c r="D181" s="26" t="str">
        <x:v>OPEN</x:v>
      </x:c>
      <x:c r="E181" s="26" t="str">
        <x:v>Add exact per-call purpose/caller/model/usage/cost attribution.</x:v>
      </x:c>
      <x:c r="F181" s="26" t="str">
        <x:v>Successful provider call lacked PID/caller proof; daily token totals cannot establish money.</x:v>
      </x:c>
      <x:c r="G181" s="26" t="str">
        <x:v>Prospective attempts/failures/unknowns bind caller/task/run and actual usage; monetary claims use authoritative cost evidence; no paid test call required.</x:v>
      </x:c>
      <x:c r="H181" s="26" t="str">
        <x:v>Repeat the exact original failure and a nearby adverse variant; verify affected already-closed boundaries without reopening unrelated work.</x:v>
      </x:c>
      <x:c r="I181" s="26" t="str">
        <x:v>Prereqs: — | Parent: LLM-04</x:v>
      </x:c>
      <x:c r="J181" s="26" t="str">
        <x:v>Assigned local engineering session</x:v>
      </x:c>
      <x:c r="K181" s="26" t="str">
        <x:v>SEE_EVIDENCE</x:v>
      </x:c>
      <x:c r="L181" s="26" t="str">
        <x:v>SEE_SCOPE_AND_EVIDENCE</x:v>
      </x:c>
      <x:c r="M181" s="26" t="str">
        <x:v>NOT_APPLICABLE</x:v>
      </x:c>
      <x:c r="N181" s="26" t="str">
        <x:v>S08 and storage incident. Provider currently disabled, so no new paid collection is authorized.</x:v>
      </x:c>
      <x:c r="O181" s="26" t="str">
        <x:v>Resolve within the linked parent/active task; capture exact evidence before closure.</x:v>
      </x:c>
      <x:c r="P181" s="26" t="str">
        <x:v>S08, S13 | Parent requirement(s): LLM-04</x:v>
      </x:c>
      <x:c r="Q181" s="26" t="str">
        <x:v>Conversation upload: Pasted text(20261004-185011).txt</x:v>
      </x:c>
    </x:row>
    <x:row r="182" ht="92" customHeight="1">
      <x:c r="A182" s="30" t="str">
        <x:v>OPEN-09</x:v>
      </x:c>
      <x:c r="B182" s="26" t="str">
        <x:v>Observed issues</x:v>
      </x:c>
      <x:c r="C182" s="26" t="str">
        <x:v>BASELINE</x:v>
      </x:c>
      <x:c r="D182" s="26" t="str">
        <x:v>IN_PROGRESS</x:v>
      </x:c>
      <x:c r="E182" s="26" t="str">
        <x:v>Adopt and reconcile the tracker without creating duplicate authorities.</x:v>
      </x:c>
      <x:c r="F182" s="26" t="str">
        <x:v>The new file must become a maintained plan, not another stale report.</x:v>
      </x:c>
      <x:c r="G182" s="26" t="str">
        <x:v>Owner accepts verification details/representation; row-level evidence is mapped; SDD remains target, STATE current summary/ledger and NEXT one active ID. Export/sync ownership is explicit.</x:v>
      </x:c>
      <x:c r="H182" s="26" t="str">
        <x:v>Repeat the exact original failure and a nearby adverse variant; verify affected already-closed boundaries without reopening unrelated work.</x:v>
      </x:c>
      <x:c r="I182" s="26" t="str">
        <x:v>Prereqs: — | Parent: GOV-01, GOV-02, GUX-11</x:v>
      </x:c>
      <x:c r="J182" s="26" t="str">
        <x:v>Assigned local engineering session</x:v>
      </x:c>
      <x:c r="K182" s="26" t="str">
        <x:v>SEE_EVIDENCE</x:v>
      </x:c>
      <x:c r="L182" s="26" t="str">
        <x:v>SEE_SCOPE_AND_EVIDENCE</x:v>
      </x:c>
      <x:c r="M182" s="26" t="str">
        <x:v>NOT_APPLICABLE</x:v>
      </x:c>
      <x:c r="N182" s="26" t="str">
        <x:v>S17: owner explicitly requested all three files in repository and Dots action/VM setup. Publication is authorized; complete evidence mapping and individual draft criteria are not established by that request.</x:v>
      </x:c>
      <x:c r="O182" s="26" t="str">
        <x:v>Import the three matched artifact files, verify hashes and current 176 IDs, link STATE/NEXT without competing authority, and verify local Dots reads. No runtime restart or paid provider action.</x:v>
      </x:c>
      <x:c r="P182" s="26" t="str">
        <x:v>S01, S09, S10, S17 | Parent requirement(s): GOV-01,GOV-02,GUX-11</x:v>
      </x:c>
      <x:c r="Q182" s="26" t="str">
        <x:v>https://github.com/sarmadkhan17/Luffy/blob/9385f792f32277bb0b826dba83247b8f5ccf1f8a/SDD.md</x:v>
      </x:c>
    </x:row>
  </x:sheetData>
  <x:mergeCells>
    <x:mergeCell ref="A1:Q2"/>
    <x:mergeCell ref="A3:Q4"/>
  </x:mergeCells>
  <x:conditionalFormatting sqref="D7:D182">
    <x:cfRule type="expression" dxfId="0" priority="1">
      <x:formula>D7="IN_PROGRESS"</x:formula>
    </x:cfRule>
    <x:cfRule type="expression" dxfId="1" priority="2">
      <x:formula>D7="OPEN"</x:formula>
    </x:cfRule>
    <x:cfRule type="expression" dxfId="2" priority="3">
      <x:formula>D7="BLOCKED"</x:formula>
    </x:cfRule>
    <x:cfRule type="expression" dxfId="3" priority="4">
      <x:formula>D7="AWAITING_EVIDENCE"</x:formula>
    </x:cfRule>
    <x:cfRule type="expression" dxfId="4" priority="5">
      <x:formula>D7="AWAITING_OWNER"</x:formula>
    </x:cfRule>
    <x:cfRule type="expression" dxfId="5" priority="6">
      <x:formula>D7="EVIDENCE_TO_MAP"</x:formula>
    </x:cfRule>
    <x:cfRule type="expression" dxfId="6" priority="7">
      <x:formula>D7="CLOSED"</x:formula>
    </x:cfRule>
    <x:cfRule type="expression" dxfId="7" priority="8">
      <x:formula>D7="DEFERRED"</x:formula>
    </x:cfRule>
  </x:conditionalFormatting>
  <x:dataValidations count="1">
    <x:dataValidation type="list" sqref="D7:D182">
      <x:formula1>"EVIDENCE_TO_MAP,OPEN,IN_PROGRESS,AWAITING_EVIDENCE,AWAITING_OWNER,CLOSED,DEFERRED,BLOCKED"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5aec073f244bc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2" hidden="0" customWidth="1"/>
    <x:col min="3" max="3" width="24" hidden="0" customWidth="1"/>
    <x:col min="4" max="4" width="29" hidden="0" customWidth="1"/>
    <x:col min="5" max="5" width="31" hidden="0" customWidth="1"/>
    <x:col min="6" max="6" width="28" hidden="0" customWidth="1"/>
    <x:col min="7" max="7" width="68" hidden="0" customWidth="1"/>
    <x:col min="8" max="8" width="62" hidden="0" customWidth="1"/>
    <x:col min="9" max="9" width="38" hidden="0" customWidth="1"/>
  </x:cols>
  <x:sheetData>
    <x:row r="1" ht="24" customHeight="1">
      <x:c r="A1" s="4" t="str">
        <x:v>LUFFY | DASHBOARD GUI COVERAGE</x:v>
      </x:c>
      <x:c r="B1" s="4"/>
      <x:c r="C1" s="4"/>
      <x:c r="D1" s="4"/>
      <x:c r="E1" s="4"/>
      <x:c r="F1" s="4"/>
      <x:c r="G1" s="4"/>
      <x:c r="H1" s="4"/>
      <x:c r="I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23" customHeight="1">
      <x:c r="A3" s="11" t="str">
        <x:v>Read-only formula view of the Master Register • 9 workspaces + separate visual approvals + shared behaviours • No appearance approval inferred.</x:v>
      </x:c>
      <x:c r="B3" s="11"/>
      <x:c r="C3" s="11"/>
      <x:c r="D3" s="11"/>
      <x:c r="E3" s="11"/>
      <x:c r="F3" s="11"/>
      <x:c r="G3" s="11"/>
      <x:c r="H3" s="11"/>
      <x:c r="I3" s="11"/>
    </x:row>
    <x:row r="4" ht="23" customHeight="1">
      <x:c r="A4" s="11"/>
      <x:c r="B4" s="11"/>
      <x:c r="C4" s="11"/>
      <x:c r="D4" s="11"/>
      <x:c r="E4" s="11"/>
      <x:c r="F4" s="11"/>
      <x:c r="G4" s="11"/>
      <x:c r="H4" s="11"/>
      <x:c r="I4" s="11"/>
    </x:row>
    <x:row r="6" ht="32" customHeight="1">
      <x:c r="A6" s="19" t="str">
        <x:v>ID</x:v>
      </x:c>
      <x:c r="B6" s="19" t="str">
        <x:v>Behaviour / screen</x:v>
      </x:c>
      <x:c r="C6" s="19" t="str">
        <x:v>Status</x:v>
      </x:c>
      <x:c r="D6" s="19" t="str">
        <x:v>Build proof</x:v>
      </x:c>
      <x:c r="E6" s="19" t="str">
        <x:v>Runtime proof</x:v>
      </x:c>
      <x:c r="F6" s="19" t="str">
        <x:v>Visual approval</x:v>
      </x:c>
      <x:c r="G6" s="19" t="str">
        <x:v>Close when</x:v>
      </x:c>
      <x:c r="H6" s="19" t="str">
        <x:v>Known evidence / limitation</x:v>
      </x:c>
      <x:c r="I6" s="19" t="str">
        <x:v>Sources</x:v>
      </x:c>
    </x:row>
    <x:row r="7" ht="108" customHeight="1">
      <x:c r="A7" s="26" t="str">
        <x:f>'Tracker'!A127</x:f>
        <x:v>GUI-01</x:v>
      </x:c>
      <x:c r="B7" s="26" t="str">
        <x:f>'Tracker'!E127</x:f>
        <x:v>Overview: Account/equity/P&amp;L, exposure, current control, global signals and Needs You.</x:v>
      </x:c>
      <x:c r="C7" s="26" t="str">
        <x:f>'Tracker'!D127</x:f>
        <x:v>AWAITING_EVIDENCE</x:v>
      </x:c>
      <x:c r="D7" s="26" t="str">
        <x:f>'Tracker'!K127</x:f>
        <x:v>HISTORICAL_STAGE8_CLAIM</x:v>
      </x:c>
      <x:c r="E7" s="26" t="str">
        <x:f>'Tracker'!L127</x:f>
        <x:v>NOT_PROVEN_FOR_THIS_SCREEN</x:v>
      </x:c>
      <x:c r="F7" s="26" t="str">
        <x:f>'Tracker'!M127</x:f>
        <x:v>TRACKED_SEPARATELY</x:v>
      </x:c>
      <x:c r="G7" s="26" t="str">
        <x:f>'Tracker'!G127</x:f>
        <x:v>Observed figures have source/freshness/quality, unavailable values stay unknown, and Needs You opens the exact evidence/action. Functional and runtime proof are separate from owner visual approval.</x:v>
      </x:c>
      <x:c r="H7" s="26" t="str">
        <x:f>'Tracker'!N127</x:f>
        <x:v>Stage8 GUI/API tests were reported historically. Per-screen current functional/runtime evidence is not mapped here; no visual approval inferred.</x:v>
      </x:c>
      <x:c r="I7" s="26" t="str">
        <x:f>'Tracker'!P127</x:f>
        <x:v>S01, S10, S14 | §25.3</x:v>
      </x:c>
    </x:row>
    <x:row r="8" ht="108" customHeight="1">
      <x:c r="A8" s="26" t="str">
        <x:f>'Tracker'!A128</x:f>
        <x:v>VIS-01</x:v>
      </x:c>
      <x:c r="B8" s="26" t="str">
        <x:f>'Tracker'!E128</x:f>
        <x:v>Owner visual approval — Overview.</x:v>
      </x:c>
      <x:c r="C8" s="26" t="str">
        <x:f>'Tracker'!D128</x:f>
        <x:v>AWAITING_OWNER</x:v>
      </x:c>
      <x:c r="D8" s="26" t="str">
        <x:f>'Tracker'!K128</x:f>
        <x:v>NOT_APPLICABLE</x:v>
      </x:c>
      <x:c r="E8" s="26" t="str">
        <x:f>'Tracker'!L128</x:f>
        <x:v>NOT_APPLICABLE</x:v>
      </x:c>
      <x:c r="F8" s="26" t="str">
        <x:f>'Tracker'!M128</x:f>
        <x:v>PENDING_OWNER</x:v>
      </x:c>
      <x:c r="G8" s="26" t="str">
        <x:f>'Tracker'!G128</x:f>
        <x:v>Exact screen/version, agreed viewport(s), reference screenshot/design and owner decision are recorded; material later visual changes reopen only affected approval.</x:v>
      </x:c>
      <x:c r="H8" s="26" t="str">
        <x:f>'Tracker'!N128</x:f>
        <x:v>No exact current screen/version visual-approval receipt linked in this tracker.</x:v>
      </x:c>
      <x:c r="I8" s="26" t="str">
        <x:f>'Tracker'!P128</x:f>
        <x:v>S10, S01 | §25; explicit GUI requirement</x:v>
      </x:c>
    </x:row>
    <x:row r="9" ht="108" customHeight="1">
      <x:c r="A9" s="26" t="str">
        <x:f>'Tracker'!A129</x:f>
        <x:v>GUI-02</x:v>
      </x:c>
      <x:c r="B9" s="26" t="str">
        <x:f>'Tracker'!E129</x:f>
        <x:v>Trades: Navigate the complete trade or rejected-decision story.</x:v>
      </x:c>
      <x:c r="C9" s="26" t="str">
        <x:f>'Tracker'!D129</x:f>
        <x:v>AWAITING_EVIDENCE</x:v>
      </x:c>
      <x:c r="D9" s="26" t="str">
        <x:f>'Tracker'!K129</x:f>
        <x:v>HISTORICAL_STAGE8_CLAIM</x:v>
      </x:c>
      <x:c r="E9" s="26" t="str">
        <x:f>'Tracker'!L129</x:f>
        <x:v>NOT_PROVEN_FOR_THIS_SCREEN</x:v>
      </x:c>
      <x:c r="F9" s="26" t="str">
        <x:f>'Tracker'!M129</x:f>
        <x:v>TRACKED_SEPARATELY</x:v>
      </x:c>
      <x:c r="G9" s="26" t="str">
        <x:f>'Tracker'!G129</x:f>
        <x:v>Decision/context/spec→Portfolio/Risk→orders/fills/exits→accounting/outcome/replay links resolve to the correct records; missing links are explicit. Functional and runtime proof are separate from owner visual approval.</x:v>
      </x:c>
      <x:c r="H9" s="26" t="str">
        <x:f>'Tracker'!N129</x:f>
        <x:v>Stage8 GUI/API tests were reported historically. Per-screen current functional/runtime evidence is not mapped here; no visual approval inferred.</x:v>
      </x:c>
      <x:c r="I9" s="26" t="str">
        <x:f>'Tracker'!P129</x:f>
        <x:v>S01, S10, S14 | §25.3</x:v>
      </x:c>
    </x:row>
    <x:row r="10" ht="108" customHeight="1">
      <x:c r="A10" s="26" t="str">
        <x:f>'Tracker'!A130</x:f>
        <x:v>VIS-02</x:v>
      </x:c>
      <x:c r="B10" s="26" t="str">
        <x:f>'Tracker'!E130</x:f>
        <x:v>Owner visual approval — Trades.</x:v>
      </x:c>
      <x:c r="C10" s="26" t="str">
        <x:f>'Tracker'!D130</x:f>
        <x:v>AWAITING_OWNER</x:v>
      </x:c>
      <x:c r="D10" s="26" t="str">
        <x:f>'Tracker'!K130</x:f>
        <x:v>NOT_APPLICABLE</x:v>
      </x:c>
      <x:c r="E10" s="26" t="str">
        <x:f>'Tracker'!L130</x:f>
        <x:v>NOT_APPLICABLE</x:v>
      </x:c>
      <x:c r="F10" s="26" t="str">
        <x:f>'Tracker'!M130</x:f>
        <x:v>PENDING_OWNER</x:v>
      </x:c>
      <x:c r="G10" s="26" t="str">
        <x:f>'Tracker'!G130</x:f>
        <x:v>Exact screen/version, agreed viewport(s), reference screenshot/design and owner decision are recorded; material later visual changes reopen only affected approval.</x:v>
      </x:c>
      <x:c r="H10" s="26" t="str">
        <x:f>'Tracker'!N130</x:f>
        <x:v>No exact current screen/version visual-approval receipt linked in this tracker.</x:v>
      </x:c>
      <x:c r="I10" s="26" t="str">
        <x:f>'Tracker'!P130</x:f>
        <x:v>S10, S01 | §25; explicit GUI requirement</x:v>
      </x:c>
    </x:row>
    <x:row r="11" ht="108" customHeight="1">
      <x:c r="A11" s="26" t="str">
        <x:f>'Tracker'!A131</x:f>
        <x:v>GUI-03</x:v>
      </x:c>
      <x:c r="B11" s="26" t="str">
        <x:f>'Tracker'!E131</x:f>
        <x:v>Research: Show questions, sources, hypotheses, experiments, evidence, contradictions, costs and blockers.</x:v>
      </x:c>
      <x:c r="C11" s="26" t="str">
        <x:f>'Tracker'!D131</x:f>
        <x:v>AWAITING_EVIDENCE</x:v>
      </x:c>
      <x:c r="D11" s="26" t="str">
        <x:f>'Tracker'!K131</x:f>
        <x:v>HISTORICAL_STAGE8_CLAIM</x:v>
      </x:c>
      <x:c r="E11" s="26" t="str">
        <x:f>'Tracker'!L131</x:f>
        <x:v>NOT_PROVEN_FOR_THIS_SCREEN</x:v>
      </x:c>
      <x:c r="F11" s="26" t="str">
        <x:f>'Tracker'!M131</x:f>
        <x:v>TRACKED_SEPARATELY</x:v>
      </x:c>
      <x:c r="G11" s="26" t="str">
        <x:f>'Tracker'!G131</x:f>
        <x:v>Supported, refuted, inconclusive, failed, untested and waiting-for-data states are navigable with evidence and costs; next questions are linked. Functional and runtime proof are separate from owner visual approval.</x:v>
      </x:c>
      <x:c r="H11" s="26" t="str">
        <x:f>'Tracker'!N131</x:f>
        <x:v>Stage8 GUI/API tests were reported historically. Per-screen current functional/runtime evidence is not mapped here; no visual approval inferred.</x:v>
      </x:c>
      <x:c r="I11" s="26" t="str">
        <x:f>'Tracker'!P131</x:f>
        <x:v>S01, S10, S14 | §25.3</x:v>
      </x:c>
    </x:row>
    <x:row r="12" ht="108" customHeight="1">
      <x:c r="A12" s="26" t="str">
        <x:f>'Tracker'!A132</x:f>
        <x:v>VIS-03</x:v>
      </x:c>
      <x:c r="B12" s="26" t="str">
        <x:f>'Tracker'!E132</x:f>
        <x:v>Owner visual approval — Research.</x:v>
      </x:c>
      <x:c r="C12" s="26" t="str">
        <x:f>'Tracker'!D132</x:f>
        <x:v>AWAITING_OWNER</x:v>
      </x:c>
      <x:c r="D12" s="26" t="str">
        <x:f>'Tracker'!K132</x:f>
        <x:v>NOT_APPLICABLE</x:v>
      </x:c>
      <x:c r="E12" s="26" t="str">
        <x:f>'Tracker'!L132</x:f>
        <x:v>NOT_APPLICABLE</x:v>
      </x:c>
      <x:c r="F12" s="26" t="str">
        <x:f>'Tracker'!M132</x:f>
        <x:v>PENDING_OWNER</x:v>
      </x:c>
      <x:c r="G12" s="26" t="str">
        <x:f>'Tracker'!G132</x:f>
        <x:v>Exact screen/version, agreed viewport(s), reference screenshot/design and owner decision are recorded; material later visual changes reopen only affected approval.</x:v>
      </x:c>
      <x:c r="H12" s="26" t="str">
        <x:f>'Tracker'!N132</x:f>
        <x:v>No exact current screen/version visual-approval receipt linked in this tracker.</x:v>
      </x:c>
      <x:c r="I12" s="26" t="str">
        <x:f>'Tracker'!P132</x:f>
        <x:v>S10, S01 | §25; explicit GUI requirement</x:v>
      </x:c>
    </x:row>
    <x:row r="13" ht="108" customHeight="1">
      <x:c r="A13" s="26" t="str">
        <x:f>'Tracker'!A133</x:f>
        <x:v>GUI-04</x:v>
      </x:c>
      <x:c r="B13" s="26" t="str">
        <x:f>'Tracker'!E133</x:f>
        <x:v>Strategies: Show families, exact versions/hashes, evidence, lifecycle, economics, capacity and approval.</x:v>
      </x:c>
      <x:c r="C13" s="26" t="str">
        <x:f>'Tracker'!D133</x:f>
        <x:v>AWAITING_EVIDENCE</x:v>
      </x:c>
      <x:c r="D13" s="26" t="str">
        <x:f>'Tracker'!K133</x:f>
        <x:v>HISTORICAL_STAGE8_CLAIM</x:v>
      </x:c>
      <x:c r="E13" s="26" t="str">
        <x:f>'Tracker'!L133</x:f>
        <x:v>NOT_PROVEN_FOR_THIS_SCREEN</x:v>
      </x:c>
      <x:c r="F13" s="26" t="str">
        <x:f>'Tracker'!M133</x:f>
        <x:v>TRACKED_SEPARATELY</x:v>
      </x:c>
      <x:c r="G13" s="26" t="str">
        <x:f>'Tracker'!G133</x:f>
        <x:v>Selecting a version shows its exact receipts/state and allowed actions; approval staleness and Governor history agree with authoritative records. Functional and runtime proof are separate from owner visual approval.</x:v>
      </x:c>
      <x:c r="H13" s="26" t="str">
        <x:f>'Tracker'!N133</x:f>
        <x:v>Stage8 GUI/API tests were reported historically. Per-screen current functional/runtime evidence is not mapped here; no visual approval inferred.</x:v>
      </x:c>
      <x:c r="I13" s="26" t="str">
        <x:f>'Tracker'!P133</x:f>
        <x:v>S01, S10, S14 | §25.3</x:v>
      </x:c>
    </x:row>
    <x:row r="14" ht="108" customHeight="1">
      <x:c r="A14" s="26" t="str">
        <x:f>'Tracker'!A134</x:f>
        <x:v>VIS-04</x:v>
      </x:c>
      <x:c r="B14" s="26" t="str">
        <x:f>'Tracker'!E134</x:f>
        <x:v>Owner visual approval — Strategies.</x:v>
      </x:c>
      <x:c r="C14" s="26" t="str">
        <x:f>'Tracker'!D134</x:f>
        <x:v>AWAITING_OWNER</x:v>
      </x:c>
      <x:c r="D14" s="26" t="str">
        <x:f>'Tracker'!K134</x:f>
        <x:v>NOT_APPLICABLE</x:v>
      </x:c>
      <x:c r="E14" s="26" t="str">
        <x:f>'Tracker'!L134</x:f>
        <x:v>NOT_APPLICABLE</x:v>
      </x:c>
      <x:c r="F14" s="26" t="str">
        <x:f>'Tracker'!M134</x:f>
        <x:v>PENDING_OWNER</x:v>
      </x:c>
      <x:c r="G14" s="26" t="str">
        <x:f>'Tracker'!G134</x:f>
        <x:v>Exact screen/version, agreed viewport(s), reference screenshot/design and owner decision are recorded; material later visual changes reopen only affected approval.</x:v>
      </x:c>
      <x:c r="H14" s="26" t="str">
        <x:f>'Tracker'!N134</x:f>
        <x:v>No exact current screen/version visual-approval receipt linked in this tracker.</x:v>
      </x:c>
      <x:c r="I14" s="26" t="str">
        <x:f>'Tracker'!P134</x:f>
        <x:v>S10, S01 | §25; explicit GUI requirement</x:v>
      </x:c>
    </x:row>
    <x:row r="15" ht="108" customHeight="1">
      <x:c r="A15" s="26" t="str">
        <x:f>'Tracker'!A135</x:f>
        <x:v>GUI-05</x:v>
      </x:c>
      <x:c r="B15" s="26" t="str">
        <x:f>'Tracker'!E135</x:f>
        <x:v>LUFFY: Provide concise grounded conversation with inspectable evidence and explicit controls.</x:v>
      </x:c>
      <x:c r="C15" s="26" t="str">
        <x:f>'Tracker'!D135</x:f>
        <x:v>AWAITING_EVIDENCE</x:v>
      </x:c>
      <x:c r="D15" s="26" t="str">
        <x:f>'Tracker'!K135</x:f>
        <x:v>HISTORICAL_STAGE8_CLAIM</x:v>
      </x:c>
      <x:c r="E15" s="26" t="str">
        <x:f>'Tracker'!L135</x:f>
        <x:v>NOT_PROVEN_FOR_THIS_SCREEN</x:v>
      </x:c>
      <x:c r="F15" s="26" t="str">
        <x:f>'Tracker'!M135</x:f>
        <x:v>TRACKED_SEPARATELY</x:v>
      </x:c>
      <x:c r="G15" s="26" t="str">
        <x:f>'Tracker'!G135</x:f>
        <x:v>Conversation loading/pending/error/history and Evidence/Explain/Open links work; answers use typed sources; commands report actual acceptance/outcome. Functional and runtime proof are separate from owner visual approval.</x:v>
      </x:c>
      <x:c r="H15" s="26" t="str">
        <x:f>'Tracker'!N135</x:f>
        <x:v>Stage8 GUI/API tests were reported historically. Per-screen current functional/runtime evidence is not mapped here; no visual approval inferred.</x:v>
      </x:c>
      <x:c r="I15" s="26" t="str">
        <x:f>'Tracker'!P135</x:f>
        <x:v>S01, S10, S14 | §25.3</x:v>
      </x:c>
    </x:row>
    <x:row r="16" ht="108" customHeight="1">
      <x:c r="A16" s="26" t="str">
        <x:f>'Tracker'!A136</x:f>
        <x:v>VIS-05</x:v>
      </x:c>
      <x:c r="B16" s="26" t="str">
        <x:f>'Tracker'!E136</x:f>
        <x:v>Owner visual approval — LUFFY.</x:v>
      </x:c>
      <x:c r="C16" s="26" t="str">
        <x:f>'Tracker'!D136</x:f>
        <x:v>AWAITING_OWNER</x:v>
      </x:c>
      <x:c r="D16" s="26" t="str">
        <x:f>'Tracker'!K136</x:f>
        <x:v>NOT_APPLICABLE</x:v>
      </x:c>
      <x:c r="E16" s="26" t="str">
        <x:f>'Tracker'!L136</x:f>
        <x:v>NOT_APPLICABLE</x:v>
      </x:c>
      <x:c r="F16" s="26" t="str">
        <x:f>'Tracker'!M136</x:f>
        <x:v>PENDING_OWNER</x:v>
      </x:c>
      <x:c r="G16" s="26" t="str">
        <x:f>'Tracker'!G136</x:f>
        <x:v>Exact screen/version, agreed viewport(s), reference screenshot/design and owner decision are recorded; material later visual changes reopen only affected approval.</x:v>
      </x:c>
      <x:c r="H16" s="26" t="str">
        <x:f>'Tracker'!N136</x:f>
        <x:v>No exact current screen/version visual-approval receipt linked in this tracker.</x:v>
      </x:c>
      <x:c r="I16" s="26" t="str">
        <x:f>'Tracker'!P136</x:f>
        <x:v>S10, S01 | §25; explicit GUI requirement</x:v>
      </x:c>
    </x:row>
    <x:row r="17" ht="108" customHeight="1">
      <x:c r="A17" s="26" t="str">
        <x:f>'Tracker'!A137</x:f>
        <x:v>GUI-06</x:v>
      </x:c>
      <x:c r="B17" s="26" t="str">
        <x:f>'Tracker'!E137</x:f>
        <x:v>Operations: Show actual scans, priorities, decisions, refusals, orders and background work.</x:v>
      </x:c>
      <x:c r="C17" s="26" t="str">
        <x:f>'Tracker'!D137</x:f>
        <x:v>AWAITING_EVIDENCE</x:v>
      </x:c>
      <x:c r="D17" s="26" t="str">
        <x:f>'Tracker'!K137</x:f>
        <x:v>HISTORICAL_STAGE8_CLAIM</x:v>
      </x:c>
      <x:c r="E17" s="26" t="str">
        <x:f>'Tracker'!L137</x:f>
        <x:v>NOT_PROVEN_FOR_THIS_SCREEN</x:v>
      </x:c>
      <x:c r="F17" s="26" t="str">
        <x:f>'Tracker'!M137</x:f>
        <x:v>TRACKED_SEPARATELY</x:v>
      </x:c>
      <x:c r="G17" s="26" t="str">
        <x:f>'Tracker'!G137</x:f>
        <x:v>Working, idle, disabled, waiting, starved and failed components have reasons, timestamps and links to relevant cycle/worker records. Functional and runtime proof are separate from owner visual approval.</x:v>
      </x:c>
      <x:c r="H17" s="26" t="str">
        <x:f>'Tracker'!N137</x:f>
        <x:v>Stage8 GUI/API tests were reported historically. Per-screen current functional/runtime evidence is not mapped here; no visual approval inferred.</x:v>
      </x:c>
      <x:c r="I17" s="26" t="str">
        <x:f>'Tracker'!P137</x:f>
        <x:v>S01, S10, S14 | §25.3</x:v>
      </x:c>
    </x:row>
    <x:row r="18" ht="108" customHeight="1">
      <x:c r="A18" s="26" t="str">
        <x:f>'Tracker'!A138</x:f>
        <x:v>VIS-06</x:v>
      </x:c>
      <x:c r="B18" s="26" t="str">
        <x:f>'Tracker'!E138</x:f>
        <x:v>Owner visual approval — Operations.</x:v>
      </x:c>
      <x:c r="C18" s="26" t="str">
        <x:f>'Tracker'!D138</x:f>
        <x:v>AWAITING_OWNER</x:v>
      </x:c>
      <x:c r="D18" s="26" t="str">
        <x:f>'Tracker'!K138</x:f>
        <x:v>NOT_APPLICABLE</x:v>
      </x:c>
      <x:c r="E18" s="26" t="str">
        <x:f>'Tracker'!L138</x:f>
        <x:v>NOT_APPLICABLE</x:v>
      </x:c>
      <x:c r="F18" s="26" t="str">
        <x:f>'Tracker'!M138</x:f>
        <x:v>PENDING_OWNER</x:v>
      </x:c>
      <x:c r="G18" s="26" t="str">
        <x:f>'Tracker'!G138</x:f>
        <x:v>Exact screen/version, agreed viewport(s), reference screenshot/design and owner decision are recorded; material later visual changes reopen only affected approval.</x:v>
      </x:c>
      <x:c r="H18" s="26" t="str">
        <x:f>'Tracker'!N138</x:f>
        <x:v>No exact current screen/version visual-approval receipt linked in this tracker.</x:v>
      </x:c>
      <x:c r="I18" s="26" t="str">
        <x:f>'Tracker'!P138</x:f>
        <x:v>S10, S01 | §25; explicit GUI requirement</x:v>
      </x:c>
    </x:row>
    <x:row r="19" ht="108" customHeight="1">
      <x:c r="A19" s="26" t="str">
        <x:f>'Tracker'!A139</x:f>
        <x:v>GUI-07</x:v>
      </x:c>
      <x:c r="B19" s="26" t="str">
        <x:f>'Tracker'!E139</x:f>
        <x:v>Live System: Visualize actual runtime components, links, data movement and health.</x:v>
      </x:c>
      <x:c r="C19" s="26" t="str">
        <x:f>'Tracker'!D139</x:f>
        <x:v>AWAITING_EVIDENCE</x:v>
      </x:c>
      <x:c r="D19" s="26" t="str">
        <x:f>'Tracker'!K139</x:f>
        <x:v>HISTORICAL_STAGE8_CLAIM</x:v>
      </x:c>
      <x:c r="E19" s="26" t="str">
        <x:f>'Tracker'!L139</x:f>
        <x:v>NOT_PROVEN_FOR_THIS_SCREEN</x:v>
      </x:c>
      <x:c r="F19" s="26" t="str">
        <x:f>'Tracker'!M139</x:f>
        <x:v>TRACKED_SEPARATELY</x:v>
      </x:c>
      <x:c r="G19" s="26" t="str">
        <x:f>'Tracker'!G139</x:f>
        <x:v>Configured topology is separated from observed nodes/flows, health and update age; advanced raw internals are optional detail. Functional and runtime proof are separate from owner visual approval.</x:v>
      </x:c>
      <x:c r="H19" s="26" t="str">
        <x:f>'Tracker'!N139</x:f>
        <x:v>Stage8 GUI/API tests were reported historically. Per-screen current functional/runtime evidence is not mapped here; no visual approval inferred.</x:v>
      </x:c>
      <x:c r="I19" s="26" t="str">
        <x:f>'Tracker'!P139</x:f>
        <x:v>S01, S10, S14 | §25.3</x:v>
      </x:c>
    </x:row>
    <x:row r="20" ht="108" customHeight="1">
      <x:c r="A20" s="26" t="str">
        <x:f>'Tracker'!A140</x:f>
        <x:v>VIS-07</x:v>
      </x:c>
      <x:c r="B20" s="26" t="str">
        <x:f>'Tracker'!E140</x:f>
        <x:v>Owner visual approval — Live System.</x:v>
      </x:c>
      <x:c r="C20" s="26" t="str">
        <x:f>'Tracker'!D140</x:f>
        <x:v>AWAITING_OWNER</x:v>
      </x:c>
      <x:c r="D20" s="26" t="str">
        <x:f>'Tracker'!K140</x:f>
        <x:v>NOT_APPLICABLE</x:v>
      </x:c>
      <x:c r="E20" s="26" t="str">
        <x:f>'Tracker'!L140</x:f>
        <x:v>NOT_APPLICABLE</x:v>
      </x:c>
      <x:c r="F20" s="26" t="str">
        <x:f>'Tracker'!M140</x:f>
        <x:v>PENDING_OWNER</x:v>
      </x:c>
      <x:c r="G20" s="26" t="str">
        <x:f>'Tracker'!G140</x:f>
        <x:v>Exact screen/version, agreed viewport(s), reference screenshot/design and owner decision are recorded; material later visual changes reopen only affected approval.</x:v>
      </x:c>
      <x:c r="H20" s="26" t="str">
        <x:f>'Tracker'!N140</x:f>
        <x:v>No exact current screen/version visual-approval receipt linked in this tracker.</x:v>
      </x:c>
      <x:c r="I20" s="26" t="str">
        <x:f>'Tracker'!P140</x:f>
        <x:v>S10, S01 | §25; explicit GUI requirement</x:v>
      </x:c>
    </x:row>
    <x:row r="21" ht="108" customHeight="1">
      <x:c r="A21" s="26" t="str">
        <x:f>'Tracker'!A141</x:f>
        <x:v>GUI-08</x:v>
      </x:c>
      <x:c r="B21" s="26" t="str">
        <x:f>'Tracker'!E141</x:f>
        <x:v>Knowledge: Support Knowledge, Evidence, Timeline and Code lenses.</x:v>
      </x:c>
      <x:c r="C21" s="26" t="str">
        <x:f>'Tracker'!D141</x:f>
        <x:v>AWAITING_EVIDENCE</x:v>
      </x:c>
      <x:c r="D21" s="26" t="str">
        <x:f>'Tracker'!K141</x:f>
        <x:v>HISTORICAL_STAGE8_CLAIM</x:v>
      </x:c>
      <x:c r="E21" s="26" t="str">
        <x:f>'Tracker'!L141</x:f>
        <x:v>NOT_PROVEN_FOR_THIS_SCREEN</x:v>
      </x:c>
      <x:c r="F21" s="26" t="str">
        <x:f>'Tracker'!M141</x:f>
        <x:v>TRACKED_SEPARATELY</x:v>
      </x:c>
      <x:c r="G21" s="26" t="str">
        <x:f>'Tracker'!G141</x:f>
        <x:v>Search, selection and links trace observation→hypothesis→experiment→evidence→conclusion→strategy/decision→outcome→learning. Functional and runtime proof are separate from owner visual approval.</x:v>
      </x:c>
      <x:c r="H21" s="26" t="str">
        <x:f>'Tracker'!N141</x:f>
        <x:v>Stage8 GUI/API tests were reported historically. Per-screen current functional/runtime evidence is not mapped here; no visual approval inferred.</x:v>
      </x:c>
      <x:c r="I21" s="26" t="str">
        <x:f>'Tracker'!P141</x:f>
        <x:v>S01, S10, S14 | §25.3</x:v>
      </x:c>
    </x:row>
    <x:row r="22" ht="108" customHeight="1">
      <x:c r="A22" s="26" t="str">
        <x:f>'Tracker'!A142</x:f>
        <x:v>VIS-08</x:v>
      </x:c>
      <x:c r="B22" s="26" t="str">
        <x:f>'Tracker'!E142</x:f>
        <x:v>Owner visual approval — Knowledge.</x:v>
      </x:c>
      <x:c r="C22" s="26" t="str">
        <x:f>'Tracker'!D142</x:f>
        <x:v>AWAITING_OWNER</x:v>
      </x:c>
      <x:c r="D22" s="26" t="str">
        <x:f>'Tracker'!K142</x:f>
        <x:v>NOT_APPLICABLE</x:v>
      </x:c>
      <x:c r="E22" s="26" t="str">
        <x:f>'Tracker'!L142</x:f>
        <x:v>NOT_APPLICABLE</x:v>
      </x:c>
      <x:c r="F22" s="26" t="str">
        <x:f>'Tracker'!M142</x:f>
        <x:v>PENDING_OWNER</x:v>
      </x:c>
      <x:c r="G22" s="26" t="str">
        <x:f>'Tracker'!G142</x:f>
        <x:v>Exact screen/version, agreed viewport(s), reference screenshot/design and owner decision are recorded; material later visual changes reopen only affected approval.</x:v>
      </x:c>
      <x:c r="H22" s="26" t="str">
        <x:f>'Tracker'!N142</x:f>
        <x:v>No exact current screen/version visual-approval receipt linked in this tracker.</x:v>
      </x:c>
      <x:c r="I22" s="26" t="str">
        <x:f>'Tracker'!P142</x:f>
        <x:v>S10, S01 | §25; explicit GUI requirement</x:v>
      </x:c>
    </x:row>
    <x:row r="23" ht="108" customHeight="1">
      <x:c r="A23" s="26" t="str">
        <x:f>'Tracker'!A143</x:f>
        <x:v>GUI-09</x:v>
      </x:c>
      <x:c r="B23" s="26" t="str">
        <x:f>'Tracker'!E143</x:f>
        <x:v>Diagnostics: Expose health, latency, resource, data/API/storage and recovery evidence.</x:v>
      </x:c>
      <x:c r="C23" s="26" t="str">
        <x:f>'Tracker'!D143</x:f>
        <x:v>AWAITING_EVIDENCE</x:v>
      </x:c>
      <x:c r="D23" s="26" t="str">
        <x:f>'Tracker'!K143</x:f>
        <x:v>HISTORICAL_STAGE8_CLAIM</x:v>
      </x:c>
      <x:c r="E23" s="26" t="str">
        <x:f>'Tracker'!L143</x:f>
        <x:v>NOT_PROVEN_FOR_THIS_SCREEN</x:v>
      </x:c>
      <x:c r="F23" s="26" t="str">
        <x:f>'Tracker'!M143</x:f>
        <x:v>TRACKED_SEPARATELY</x:v>
      </x:c>
      <x:c r="G23" s="26" t="str">
        <x:f>'Tracker'!G143</x:f>
        <x:v>Errors show bounded reason, phase, time, affected source and evidence; advanced details are separate from normal owner surfaces. Functional and runtime proof are separate from owner visual approval.</x:v>
      </x:c>
      <x:c r="H23" s="26" t="str">
        <x:f>'Tracker'!N143</x:f>
        <x:v>Stage8 GUI/API tests were reported historically. Per-screen current functional/runtime evidence is not mapped here; no visual approval inferred.</x:v>
      </x:c>
      <x:c r="I23" s="26" t="str">
        <x:f>'Tracker'!P143</x:f>
        <x:v>S01, S10, S14 | §25.3</x:v>
      </x:c>
    </x:row>
    <x:row r="24" ht="108" customHeight="1">
      <x:c r="A24" s="26" t="str">
        <x:f>'Tracker'!A144</x:f>
        <x:v>VIS-09</x:v>
      </x:c>
      <x:c r="B24" s="26" t="str">
        <x:f>'Tracker'!E144</x:f>
        <x:v>Owner visual approval — Diagnostics.</x:v>
      </x:c>
      <x:c r="C24" s="26" t="str">
        <x:f>'Tracker'!D144</x:f>
        <x:v>AWAITING_OWNER</x:v>
      </x:c>
      <x:c r="D24" s="26" t="str">
        <x:f>'Tracker'!K144</x:f>
        <x:v>NOT_APPLICABLE</x:v>
      </x:c>
      <x:c r="E24" s="26" t="str">
        <x:f>'Tracker'!L144</x:f>
        <x:v>NOT_APPLICABLE</x:v>
      </x:c>
      <x:c r="F24" s="26" t="str">
        <x:f>'Tracker'!M144</x:f>
        <x:v>PENDING_OWNER</x:v>
      </x:c>
      <x:c r="G24" s="26" t="str">
        <x:f>'Tracker'!G144</x:f>
        <x:v>Exact screen/version, agreed viewport(s), reference screenshot/design and owner decision are recorded; material later visual changes reopen only affected approval.</x:v>
      </x:c>
      <x:c r="H24" s="26" t="str">
        <x:f>'Tracker'!N144</x:f>
        <x:v>No exact current screen/version visual-approval receipt linked in this tracker.</x:v>
      </x:c>
      <x:c r="I24" s="26" t="str">
        <x:f>'Tracker'!P144</x:f>
        <x:v>S10, S01 | §25; explicit GUI requirement</x:v>
      </x:c>
    </x:row>
    <x:row r="25" ht="108" customHeight="1">
      <x:c r="A25" s="26" t="str">
        <x:f>'Tracker'!A145</x:f>
        <x:v>GUX-01</x:v>
      </x:c>
      <x:c r="B25" s="26" t="str">
        <x:f>'Tracker'!E145</x:f>
        <x:v>Preserve one approved root React dashboard with all nine routes.</x:v>
      </x:c>
      <x:c r="C25" s="26" t="str">
        <x:f>'Tracker'!D145</x:f>
        <x:v>EVIDENCE_TO_MAP</x:v>
      </x:c>
      <x:c r="D25" s="26" t="str">
        <x:f>'Tracker'!K145</x:f>
        <x:v>NOT_MAPPED</x:v>
      </x:c>
      <x:c r="E25" s="26" t="str">
        <x:f>'Tracker'!L145</x:f>
        <x:v>NOT_MAPPED</x:v>
      </x:c>
      <x:c r="F25" s="26" t="str">
        <x:f>'Tracker'!M145</x:f>
        <x:v>NOT_APPLICABLE</x:v>
      </x:c>
      <x:c r="G25" s="26" t="str">
        <x:f>'Tracker'!G145</x:f>
        <x:v>The agreed root navigation, route/deep-link/back/refresh behaviour and required backend APIs work on the deployed build; legacy state is explicitly classified.</x:v>
      </x:c>
      <x:c r="H25" s="26" t="str">
        <x:f>'Tracker'!N145</x:f>
        <x:v>No item-level evidence mapping completed in this tracker.</x:v>
      </x:c>
      <x:c r="I25" s="26" t="str">
        <x:f>'Tracker'!P145</x:f>
        <x:v>S01, S10 | §25.1–25.3</x:v>
      </x:c>
    </x:row>
    <x:row r="26" ht="108" customHeight="1">
      <x:c r="A26" s="26" t="str">
        <x:f>'Tracker'!A146</x:f>
        <x:v>GUX-02</x:v>
      </x:c>
      <x:c r="B26" s="26" t="str">
        <x:f>'Tracker'!E146</x:f>
        <x:v>Make loading, empty, unavailable, stale and error states explicit.</x:v>
      </x:c>
      <x:c r="C26" s="26" t="str">
        <x:f>'Tracker'!D146</x:f>
        <x:v>EVIDENCE_TO_MAP</x:v>
      </x:c>
      <x:c r="D26" s="26" t="str">
        <x:f>'Tracker'!K146</x:f>
        <x:v>NOT_MAPPED</x:v>
      </x:c>
      <x:c r="E26" s="26" t="str">
        <x:f>'Tracker'!L146</x:f>
        <x:v>NOT_MAPPED</x:v>
      </x:c>
      <x:c r="F26" s="26" t="str">
        <x:f>'Tracker'!M146</x:f>
        <x:v>NOT_APPLICABLE</x:v>
      </x:c>
      <x:c r="G26" s="26" t="str">
        <x:f>'Tracker'!G146</x:f>
        <x:v>Each screen's main request states render distinctly with freshness and appropriate retry/permissions; LIVE never substitutes demo fixtures.</x:v>
      </x:c>
      <x:c r="H26" s="26" t="str">
        <x:f>'Tracker'!N146</x:f>
        <x:v>No item-level evidence mapping completed in this tracker.</x:v>
      </x:c>
      <x:c r="I26" s="26" t="str">
        <x:f>'Tracker'!P146</x:f>
        <x:v>S01, S10 | §25.3; GUI verification detail</x:v>
      </x:c>
    </x:row>
    <x:row r="27" ht="108" customHeight="1">
      <x:c r="A27" s="26" t="str">
        <x:f>'Tracker'!A147</x:f>
        <x:v>GUX-03</x:v>
      </x:c>
      <x:c r="B27" s="26" t="str">
        <x:f>'Tracker'!E147</x:f>
        <x:v>Keep evidence links, filters, sort, search and detail navigation exact.</x:v>
      </x:c>
      <x:c r="C27" s="26" t="str">
        <x:f>'Tracker'!D147</x:f>
        <x:v>EVIDENCE_TO_MAP</x:v>
      </x:c>
      <x:c r="D27" s="26" t="str">
        <x:f>'Tracker'!K147</x:f>
        <x:v>NOT_MAPPED</x:v>
      </x:c>
      <x:c r="E27" s="26" t="str">
        <x:f>'Tracker'!L147</x:f>
        <x:v>NOT_MAPPED</x:v>
      </x:c>
      <x:c r="F27" s="26" t="str">
        <x:f>'Tracker'!M147</x:f>
        <x:v>NOT_APPLICABLE</x:v>
      </x:c>
      <x:c r="G27" s="26" t="str">
        <x:f>'Tracker'!G147</x:f>
        <x:v>Agreed user journeys across IDs/filters/page boundaries and linked details resolve correctly on real contracts.</x:v>
      </x:c>
      <x:c r="H27" s="26" t="str">
        <x:f>'Tracker'!N147</x:f>
        <x:v>No item-level evidence mapping completed in this tracker.</x:v>
      </x:c>
      <x:c r="I27" s="26" t="str">
        <x:f>'Tracker'!P147</x:f>
        <x:v>S01, S10 | §25.3</x:v>
      </x:c>
    </x:row>
    <x:row r="28" ht="108" customHeight="1">
      <x:c r="A28" s="26" t="str">
        <x:f>'Tracker'!A148</x:f>
        <x:v>GUX-04</x:v>
      </x:c>
      <x:c r="B28" s="26" t="str">
        <x:f>'Tracker'!E148</x:f>
        <x:v>Handle live updates and reconnect without duplicate or regressed state.</x:v>
      </x:c>
      <x:c r="C28" s="26" t="str">
        <x:f>'Tracker'!D148</x:f>
        <x:v>EVIDENCE_TO_MAP</x:v>
      </x:c>
      <x:c r="D28" s="26" t="str">
        <x:f>'Tracker'!K148</x:f>
        <x:v>NOT_MAPPED</x:v>
      </x:c>
      <x:c r="E28" s="26" t="str">
        <x:f>'Tracker'!L148</x:f>
        <x:v>NOT_MAPPED</x:v>
      </x:c>
      <x:c r="F28" s="26" t="str">
        <x:f>'Tracker'!M148</x:f>
        <x:v>NOT_APPLICABLE</x:v>
      </x:c>
      <x:c r="G28" s="26" t="str">
        <x:f>'Tracker'!G148</x:f>
        <x:v>Version/timestamp-aware updates, reconnect and stale warnings keep consistent current state and retained context.</x:v>
      </x:c>
      <x:c r="H28" s="26" t="str">
        <x:f>'Tracker'!N148</x:f>
        <x:v>No item-level evidence mapping completed in this tracker.</x:v>
      </x:c>
      <x:c r="I28" s="26" t="str">
        <x:f>'Tracker'!P148</x:f>
        <x:v>S01, S10 | §25.1–25.3</x:v>
      </x:c>
    </x:row>
    <x:row r="29" ht="108" customHeight="1">
      <x:c r="A29" s="26" t="str">
        <x:f>'Tracker'!A149</x:f>
        <x:v>GUX-05</x:v>
      </x:c>
      <x:c r="B29" s="26" t="str">
        <x:f>'Tracker'!E149</x:f>
        <x:v>Make controls clear and safe across retries, stale state and loss of connection.</x:v>
      </x:c>
      <x:c r="C29" s="26" t="str">
        <x:f>'Tracker'!D149</x:f>
        <x:v>EVIDENCE_TO_MAP</x:v>
      </x:c>
      <x:c r="D29" s="26" t="str">
        <x:f>'Tracker'!K149</x:f>
        <x:v>NOT_MAPPED</x:v>
      </x:c>
      <x:c r="E29" s="26" t="str">
        <x:f>'Tracker'!L149</x:f>
        <x:v>NOT_MAPPED</x:v>
      </x:c>
      <x:c r="F29" s="26" t="str">
        <x:f>'Tracker'!M149</x:f>
        <x:v>NOT_APPLICABLE</x:v>
      </x:c>
      <x:c r="G29" s="26" t="str">
        <x:f>'Tracker'!G149</x:f>
        <x:v>Pending/accepted/refused/failed/completed states match typed audit records; stale/duplicate clicks cannot duplicate authority.</x:v>
      </x:c>
      <x:c r="H29" s="26" t="str">
        <x:f>'Tracker'!N149</x:f>
        <x:v>No item-level evidence mapping completed in this tracker.</x:v>
      </x:c>
      <x:c r="I29" s="26" t="str">
        <x:f>'Tracker'!P149</x:f>
        <x:v>S01, S10 | §25.4</x:v>
      </x:c>
    </x:row>
    <x:row r="30" ht="108" customHeight="1">
      <x:c r="A30" s="26" t="str">
        <x:f>'Tracker'!A150</x:f>
        <x:v>GUX-06</x:v>
      </x:c>
      <x:c r="B30" s="26" t="str">
        <x:f>'Tracker'!E150</x:f>
        <x:v>Support agreed desktop/mobile sizes and long-content use.</x:v>
      </x:c>
      <x:c r="C30" s="26" t="str">
        <x:f>'Tracker'!D150</x:f>
        <x:v>EVIDENCE_TO_MAP</x:v>
      </x:c>
      <x:c r="D30" s="26" t="str">
        <x:f>'Tracker'!K150</x:f>
        <x:v>NOT_MAPPED</x:v>
      </x:c>
      <x:c r="E30" s="26" t="str">
        <x:f>'Tracker'!L150</x:f>
        <x:v>NOT_MAPPED</x:v>
      </x:c>
      <x:c r="F30" s="26" t="str">
        <x:f>'Tracker'!M150</x:f>
        <x:v>NOT_APPLICABLE</x:v>
      </x:c>
      <x:c r="G30" s="26" t="str">
        <x:f>'Tracker'!G150</x:f>
        <x:v>Agreed viewport journeys show readable tables, panels and controls without clipping or hidden critical state; visual approvals identify viewport.</x:v>
      </x:c>
      <x:c r="H30" s="26" t="str">
        <x:f>'Tracker'!N150</x:f>
        <x:v>No item-level evidence mapping completed in this tracker.</x:v>
      </x:c>
      <x:c r="I30" s="26" t="str">
        <x:f>'Tracker'!P150</x:f>
        <x:v>S01, S10 | Owner GUI coverage; §25</x:v>
      </x:c>
    </x:row>
    <x:row r="31" ht="108" customHeight="1">
      <x:c r="A31" s="26" t="str">
        <x:f>'Tracker'!A151</x:f>
        <x:v>GUX-07</x:v>
      </x:c>
      <x:c r="B31" s="26" t="str">
        <x:f>'Tracker'!E151</x:f>
        <x:v>Support keyboard access, contrast and reduced-motion needs.</x:v>
      </x:c>
      <x:c r="C31" s="26" t="str">
        <x:f>'Tracker'!D151</x:f>
        <x:v>EVIDENCE_TO_MAP</x:v>
      </x:c>
      <x:c r="D31" s="26" t="str">
        <x:f>'Tracker'!K151</x:f>
        <x:v>NOT_MAPPED</x:v>
      </x:c>
      <x:c r="E31" s="26" t="str">
        <x:f>'Tracker'!L151</x:f>
        <x:v>NOT_MAPPED</x:v>
      </x:c>
      <x:c r="F31" s="26" t="str">
        <x:f>'Tracker'!M151</x:f>
        <x:v>NOT_APPLICABLE</x:v>
      </x:c>
      <x:c r="G31" s="26" t="str">
        <x:f>'Tracker'!G151</x:f>
        <x:v>Agreed keyboard/focus, contrast, labels and reduced-motion journeys are verified; defects link to specific screens.</x:v>
      </x:c>
      <x:c r="H31" s="26" t="str">
        <x:f>'Tracker'!N151</x:f>
        <x:v>No item-level evidence mapping completed in this tracker.</x:v>
      </x:c>
      <x:c r="I31" s="26" t="str">
        <x:f>'Tracker'!P151</x:f>
        <x:v>S01, S10 | §25.2; proposed accessibility verification</x:v>
      </x:c>
    </x:row>
    <x:row r="32" ht="108" customHeight="1">
      <x:c r="A32" s="26" t="str">
        <x:f>'Tracker'!A152</x:f>
        <x:v>GUX-08</x:v>
      </x:c>
      <x:c r="B32" s="26" t="str">
        <x:f>'Tracker'!E152</x:f>
        <x:v>Keep 3D and motion selective, adaptive and browser-side.</x:v>
      </x:c>
      <x:c r="C32" s="26" t="str">
        <x:f>'Tracker'!D152</x:f>
        <x:v>EVIDENCE_TO_MAP</x:v>
      </x:c>
      <x:c r="D32" s="26" t="str">
        <x:f>'Tracker'!K152</x:f>
        <x:v>NOT_MAPPED</x:v>
      </x:c>
      <x:c r="E32" s="26" t="str">
        <x:f>'Tracker'!L152</x:f>
        <x:v>NOT_MAPPED</x:v>
      </x:c>
      <x:c r="F32" s="26" t="str">
        <x:f>'Tracker'!M152</x:f>
        <x:v>NOT_APPLICABLE</x:v>
      </x:c>
      <x:c r="G32" s="26" t="str">
        <x:f>'Tracker'!G152</x:f>
        <x:v>Graphics degrade gracefully on the browser/host and never become a backend GPU or runtime safety dependency.</x:v>
      </x:c>
      <x:c r="H32" s="26" t="str">
        <x:f>'Tracker'!N152</x:f>
        <x:v>No item-level evidence mapping completed in this tracker.</x:v>
      </x:c>
      <x:c r="I32" s="26" t="str">
        <x:f>'Tracker'!P152</x:f>
        <x:v>S01, S10 | §25.2</x:v>
      </x:c>
    </x:row>
    <x:row r="33" ht="108" customHeight="1">
      <x:c r="A33" s="26" t="str">
        <x:f>'Tracker'!A153</x:f>
        <x:v>GUX-09</x:v>
      </x:c>
      <x:c r="B33" s="26" t="str">
        <x:f>'Tracker'!E153</x:f>
        <x:v>Bound dashboard query/polling cost against the running system.</x:v>
      </x:c>
      <x:c r="C33" s="26" t="str">
        <x:f>'Tracker'!D153</x:f>
        <x:v>EVIDENCE_TO_MAP</x:v>
      </x:c>
      <x:c r="D33" s="26" t="str">
        <x:f>'Tracker'!K153</x:f>
        <x:v>NOT_MAPPED</x:v>
      </x:c>
      <x:c r="E33" s="26" t="str">
        <x:f>'Tracker'!L153</x:f>
        <x:v>NOT_MAPPED</x:v>
      </x:c>
      <x:c r="F33" s="26" t="str">
        <x:f>'Tracker'!M153</x:f>
        <x:v>NOT_APPLICABLE</x:v>
      </x:c>
      <x:c r="G33" s="26" t="str">
        <x:f>'Tracker'!G153</x:f>
        <x:v>Measured actual page/query/live-update workload meets agreed UI targets and leaves live safety envelopes intact; targets require approval if not defined.</x:v>
      </x:c>
      <x:c r="H33" s="26" t="str">
        <x:f>'Tracker'!N153</x:f>
        <x:v>No item-level evidence mapping completed in this tracker.</x:v>
      </x:c>
      <x:c r="I33" s="26" t="str">
        <x:f>'Tracker'!P153</x:f>
        <x:v>S01, S10 | §§5.2,25.1–25.3</x:v>
      </x:c>
    </x:row>
    <x:row r="34" ht="108" customHeight="1">
      <x:c r="A34" s="26" t="str">
        <x:f>'Tracker'!A154</x:f>
        <x:v>GUX-10</x:v>
      </x:c>
      <x:c r="B34" s="26" t="str">
        <x:f>'Tracker'!E154</x:f>
        <x:v>Enforce session/authentication and no secrets in the browser.</x:v>
      </x:c>
      <x:c r="C34" s="26" t="str">
        <x:f>'Tracker'!D154</x:f>
        <x:v>EVIDENCE_TO_MAP</x:v>
      </x:c>
      <x:c r="D34" s="26" t="str">
        <x:f>'Tracker'!K154</x:f>
        <x:v>NOT_MAPPED</x:v>
      </x:c>
      <x:c r="E34" s="26" t="str">
        <x:f>'Tracker'!L154</x:f>
        <x:v>NOT_MAPPED</x:v>
      </x:c>
      <x:c r="F34" s="26" t="str">
        <x:f>'Tracker'!M154</x:f>
        <x:v>NOT_APPLICABLE</x:v>
      </x:c>
      <x:c r="G34" s="26" t="str">
        <x:f>'Tracker'!G154</x:f>
        <x:v>Authenticated reads/actions and session-expiry behavior meet the accepted V1 security contract; current hardening limitations are visible.</x:v>
      </x:c>
      <x:c r="H34" s="26" t="str">
        <x:f>'Tracker'!N154</x:f>
        <x:v>No item-level evidence mapping completed in this tracker.</x:v>
      </x:c>
      <x:c r="I34" s="26" t="str">
        <x:f>'Tracker'!P154</x:f>
        <x:v>S01, S10 | §§25.4,26</x:v>
      </x:c>
    </x:row>
    <x:row r="35" ht="108" customHeight="1">
      <x:c r="A35" s="26" t="str">
        <x:f>'Tracker'!A155</x:f>
        <x:v>GUX-11</x:v>
      </x:c>
      <x:c r="B35" s="26" t="str">
        <x:f>'Tracker'!E155</x:f>
        <x:v>Record screen-by-screen evidence rather than a single dashboard PASS.</x:v>
      </x:c>
      <x:c r="C35" s="26" t="str">
        <x:f>'Tracker'!D155</x:f>
        <x:v>EVIDENCE_TO_MAP</x:v>
      </x:c>
      <x:c r="D35" s="26" t="str">
        <x:f>'Tracker'!K155</x:f>
        <x:v>NOT_MAPPED</x:v>
      </x:c>
      <x:c r="E35" s="26" t="str">
        <x:f>'Tracker'!L155</x:f>
        <x:v>NOT_MAPPED</x:v>
      </x:c>
      <x:c r="F35" s="26" t="str">
        <x:f>'Tracker'!M155</x:f>
        <x:v>NOT_APPLICABLE</x:v>
      </x:c>
      <x:c r="G35" s="26" t="str">
        <x:f>'Tracker'!G155</x:f>
        <x:v>Each GUI row links functional test, current runtime data source and exact owner visual approval independently.</x:v>
      </x:c>
      <x:c r="H35" s="26" t="str">
        <x:f>'Tracker'!N155</x:f>
        <x:v>No item-level evidence mapping completed in this tracker.</x:v>
      </x:c>
      <x:c r="I35" s="26" t="str">
        <x:f>'Tracker'!P155</x:f>
        <x:v>S01, S10 | Owner GUI tracking requirement</x:v>
      </x:c>
    </x:row>
  </x:sheetData>
  <x:mergeCells>
    <x:mergeCell ref="A1:I2"/>
    <x:mergeCell ref="A3:I4"/>
  </x:mergeCells>
  <x:conditionalFormatting sqref="C7:C35">
    <x:cfRule type="expression" dxfId="8" priority="1">
      <x:formula>C7="IN_PROGRESS"</x:formula>
    </x:cfRule>
    <x:cfRule type="expression" dxfId="9" priority="2">
      <x:formula>C7="OPEN"</x:formula>
    </x:cfRule>
    <x:cfRule type="expression" dxfId="10" priority="3">
      <x:formula>C7="BLOCKED"</x:formula>
    </x:cfRule>
    <x:cfRule type="expression" dxfId="11" priority="4">
      <x:formula>C7="AWAITING_EVIDENCE"</x:formula>
    </x:cfRule>
    <x:cfRule type="expression" dxfId="12" priority="5">
      <x:formula>C7="AWAITING_OWNER"</x:formula>
    </x:cfRule>
    <x:cfRule type="expression" dxfId="13" priority="6">
      <x:formula>C7="EVIDENCE_TO_MAP"</x:formula>
    </x:cfRule>
    <x:cfRule type="expression" dxfId="14" priority="7">
      <x:formula>C7="CLOSED"</x:formula>
    </x:cfRule>
    <x:cfRule type="expression" dxfId="15" priority="8">
      <x:formula>C7="DEFERRED"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ee537696ce4c6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5" hidden="0" customWidth="1"/>
    <x:col min="3" max="3" width="53" hidden="0" customWidth="1"/>
    <x:col min="4" max="4" width="48" hidden="0" customWidth="1"/>
    <x:col min="5" max="5" width="37" hidden="0" customWidth="1"/>
    <x:col min="6" max="6" width="68" hidden="0" customWidth="1"/>
    <x:col min="7" max="7" width="66" hidden="0" customWidth="1"/>
    <x:col min="8" max="8" width="55" hidden="0" customWidth="1"/>
    <x:col min="9" max="9" width="33" hidden="0" customWidth="1"/>
  </x:cols>
  <x:sheetData>
    <x:row r="1" ht="24" customHeight="1">
      <x:c r="A1" s="4" t="str">
        <x:v>LUFFY | OBSERVED ISSUES &amp; ONE ACTIVE TASK</x:v>
      </x:c>
      <x:c r="B1" s="4"/>
      <x:c r="C1" s="4"/>
      <x:c r="D1" s="4"/>
      <x:c r="E1" s="4"/>
      <x:c r="F1" s="4"/>
      <x:c r="G1" s="4"/>
      <x:c r="H1" s="4"/>
      <x:c r="I1" s="4"/>
    </x:row>
    <x:row r="2" ht="24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23" customHeight="1">
      <x:c r="A3" s="11" t="str">
        <x:v>Only WORK-01 is active • Closed fixes retain their historical scope • The current harness/observation result is still pending.</x:v>
      </x:c>
      <x:c r="B3" s="11"/>
      <x:c r="C3" s="11"/>
      <x:c r="D3" s="11"/>
      <x:c r="E3" s="11"/>
      <x:c r="F3" s="11"/>
      <x:c r="G3" s="11"/>
      <x:c r="H3" s="11"/>
      <x:c r="I3" s="11"/>
    </x:row>
    <x:row r="4" ht="23" customHeight="1">
      <x:c r="A4" s="11"/>
      <x:c r="B4" s="11"/>
      <x:c r="C4" s="11"/>
      <x:c r="D4" s="11"/>
      <x:c r="E4" s="11"/>
      <x:c r="F4" s="11"/>
      <x:c r="G4" s="11"/>
      <x:c r="H4" s="11"/>
      <x:c r="I4" s="11"/>
    </x:row>
    <x:row r="6" ht="32" customHeight="1">
      <x:c r="A6" s="19" t="str">
        <x:v>ID</x:v>
      </x:c>
      <x:c r="B6" s="19" t="str">
        <x:v>Status</x:v>
      </x:c>
      <x:c r="C6" s="19" t="str">
        <x:v>Issue / work</x:v>
      </x:c>
      <x:c r="D6" s="19" t="str">
        <x:v>Why / impact</x:v>
      </x:c>
      <x:c r="E6" s="19" t="str">
        <x:v>Parent requirement</x:v>
      </x:c>
      <x:c r="F6" s="19" t="str">
        <x:v>Close when</x:v>
      </x:c>
      <x:c r="G6" s="19" t="str">
        <x:v>Latest evidence</x:v>
      </x:c>
      <x:c r="H6" s="19" t="str">
        <x:v>Next action</x:v>
      </x:c>
      <x:c r="I6" s="19" t="str">
        <x:v>Sources</x:v>
      </x:c>
    </x:row>
    <x:row r="7" ht="108" customHeight="1">
      <x:c r="A7" s="26" t="str">
        <x:f>'Tracker'!A160</x:f>
        <x:v>WORK-01</x:v>
      </x:c>
      <x:c r="B7" s="26" t="str">
        <x:f>'Tracker'!D160</x:f>
        <x:v>BLOCKED</x:v>
      </x:c>
      <x:c r="C7" s="26" t="str">
        <x:f>'Tracker'!E160</x:f>
        <x:v>Finish current harness correction and one instrumented FROZEN observation.</x:v>
      </x:c>
      <x:c r="D7" s="26" t="str">
        <x:f>'Tracker'!F160</x:f>
        <x:v>Keep the completed-but-blocked attempt attached to the stable runtime requirement instead of launching another untracked repair.</x:v>
      </x:c>
      <x:c r="E7" s="26" t="str">
        <x:f>'Tracker'!I160</x:f>
        <x:v>Prereqs: — | Parent: RUN-01, RUN-03, GOV-06</x:v>
      </x:c>
      <x:c r="F7" s="26" t="str">
        <x:f>'Tracker'!G160</x:f>
        <x:v>Four harness conflicts pass integrated fixtures; then execute the existing authorized observation with exact revision/run/measurements and truthful PASS or external BLOCKED result. No new repair automatically starts.</x:v>
      </x:c>
      <x:c r="G7" s="26" t="str">
        <x:f>'Tracker'!N160</x:f>
        <x:v>S16 owner report: four harness conflicts fixed; 12 pre-run and 13 post-cleanup fixture scenarios. Stop requested at 240.033s; first cycle completed during shutdown at 259.776s. Zero complete window cycles; no ordinary recurring sample; all task services stopped.</x:v>
      </x:c>
      <x:c r="H7" s="26" t="str">
        <x:f>'Tracker'!O160</x:f>
        <x:v>Preserve the blocked attempt. After OPEN-09, use PERF-01 to attribute evidence-store waits and repeated market/evidence work from the retained run. No automatic restart or optimization.</x:v>
      </x:c>
      <x:c r="I7" s="26" t="str">
        <x:f>'Tracker'!P160</x:f>
        <x:v>S11, S15, S16 | Parent requirement(s): RUN-01,RUN-03,GOV-06</x:v>
      </x:c>
    </x:row>
    <x:row r="8" ht="108" customHeight="1">
      <x:c r="A8" s="26" t="str">
        <x:f>'Tracker'!A161</x:f>
        <x:v>OBS-01</x:v>
      </x:c>
      <x:c r="B8" s="26" t="str">
        <x:f>'Tracker'!D161</x:f>
        <x:v>AWAITING_EVIDENCE</x:v>
      </x:c>
      <x:c r="C8" s="26" t="str">
        <x:f>'Tracker'!E161</x:f>
        <x:v>Enforce preflight refusal before any service launch.</x:v>
      </x:c>
      <x:c r="D8" s="26" t="str">
        <x:f>'Tracker'!F161</x:f>
        <x:v>The prepared preflight recorded active safety conditions but did not enforce refusal.</x:v>
      </x:c>
      <x:c r="E8" s="26" t="str">
        <x:f>'Tracker'!I161</x:f>
        <x:v>Prereqs: — | Parent: RUN-01</x:v>
      </x:c>
      <x:c r="F8" s="26" t="str">
        <x:f>'Tracker'!G161</x:f>
        <x:v>Machine-readable preflight outcome gates launch; active/unreadable required storage/protection/environment facts yield zero launches.</x:v>
      </x:c>
      <x:c r="G8" s="26" t="str">
        <x:f>'Tracker'!N161</x:f>
        <x:v>Reported in PREPARED_HARNESS_CONFLICT; included in running WORK-01. Final fix evidence not supplied.</x:v>
      </x:c>
      <x:c r="H8" s="26" t="str">
        <x:f>'Tracker'!O161</x:f>
        <x:v>Resolve within the linked parent/active task; capture exact evidence before closure.</x:v>
      </x:c>
      <x:c r="I8" s="26" t="str">
        <x:f>'Tracker'!P161</x:f>
        <x:v>S11, S15 | Parent requirement(s): RUN-01</x:v>
      </x:c>
    </x:row>
    <x:row r="9" ht="108" customHeight="1">
      <x:c r="A9" s="26" t="str">
        <x:f>'Tracker'!A162</x:f>
        <x:v>OBS-02</x:v>
      </x:c>
      <x:c r="B9" s="26" t="str">
        <x:f>'Tracker'!D162</x:f>
        <x:v>AWAITING_EVIDENCE</x:v>
      </x:c>
      <x:c r="C9" s="26" t="str">
        <x:f>'Tracker'!E162</x:f>
        <x:v>Launch Dashboard only after new Kernel boot evidence.</x:v>
      </x:c>
      <x:c r="D9" s="26" t="str">
        <x:f>'Tracker'!F162</x:f>
        <x:v>The prepared launcher started Dashboard immediately.</x:v>
      </x:c>
      <x:c r="E9" s="26" t="str">
        <x:f>'Tracker'!I162</x:f>
        <x:v>Prereqs: — | Parent: RUN-01</x:v>
      </x:c>
      <x:c r="F9" s="26" t="str">
        <x:f>'Tracker'!G162</x:f>
        <x:v>Bound new-process boot/FROZEN/genuine heartbeat and blocking-health proof gate Dashboard; PID/sleep/old beat is insufficient.</x:v>
      </x:c>
      <x:c r="G9" s="26" t="str">
        <x:f>'Tracker'!N162</x:f>
        <x:v>Reported in PREPARED_HARNESS_CONFLICT; included in running WORK-01. Final fix evidence not supplied.</x:v>
      </x:c>
      <x:c r="H9" s="26" t="str">
        <x:f>'Tracker'!O162</x:f>
        <x:v>Resolve within the linked parent/active task; capture exact evidence before closure.</x:v>
      </x:c>
      <x:c r="I9" s="26" t="str">
        <x:f>'Tracker'!P162</x:f>
        <x:v>S11, S15 | Parent requirement(s): RUN-01</x:v>
      </x:c>
    </x:row>
    <x:row r="10" ht="108" customHeight="1">
      <x:c r="A10" s="26" t="str">
        <x:f>'Tracker'!A163</x:f>
        <x:v>OBS-03</x:v>
      </x:c>
      <x:c r="B10" s="26" t="str">
        <x:f>'Tracker'!D163</x:f>
        <x:v>AWAITING_EVIDENCE</x:v>
      </x:c>
      <x:c r="C10" s="26" t="str">
        <x:f>'Tracker'!E163</x:f>
        <x:v>Measure the observation hour from actual first-cycle start.</x:v>
      </x:c>
      <x:c r="D10" s="26" t="str">
        <x:f>'Tracker'!F163</x:f>
        <x:v>The prepared collector measured from launch instead.</x:v>
      </x:c>
      <x:c r="E10" s="26" t="str">
        <x:f>'Tracker'!I163</x:f>
        <x:v>Prereqs: — | Parent: RUN-03</x:v>
      </x:c>
      <x:c r="F10" s="26" t="str">
        <x:f>'Tracker'!G163</x:f>
        <x:v>One monotonic first-cycle-start boundary defines the hour; first/cold/shutdown cycles are not discarded or relabelled.</x:v>
      </x:c>
      <x:c r="G10" s="26" t="str">
        <x:f>'Tracker'!N163</x:f>
        <x:v>Reported in PREPARED_HARNESS_CONFLICT; included in running WORK-01. Final fix evidence not supplied.</x:v>
      </x:c>
      <x:c r="H10" s="26" t="str">
        <x:f>'Tracker'!O163</x:f>
        <x:v>Resolve within the linked parent/active task; capture exact evidence before closure.</x:v>
      </x:c>
      <x:c r="I10" s="26" t="str">
        <x:f>'Tracker'!P163</x:f>
        <x:v>S11, S15 | Parent requirement(s): RUN-03</x:v>
      </x:c>
    </x:row>
    <x:row r="11" ht="108" customHeight="1">
      <x:c r="A11" s="26" t="str">
        <x:f>'Tracker'!A164</x:f>
        <x:v>OBS-04</x:v>
      </x:c>
      <x:c r="B11" s="26" t="str">
        <x:f>'Tracker'!D164</x:f>
        <x:v>AWAITING_EVIDENCE</x:v>
      </x:c>
      <x:c r="C11" s="26" t="str">
        <x:f>'Tracker'!E164</x:f>
        <x:v>Keep required observers active through unconfirmed shutdown.</x:v>
      </x:c>
      <x:c r="D11" s="26" t="str">
        <x:f>'Tracker'!F164</x:f>
        <x:v>The prepared launcher stopped observers even on service-stop timeout.</x:v>
      </x:c>
      <x:c r="E11" s="26" t="str">
        <x:f>'Tracker'!I164</x:f>
        <x:v>Prereqs: — | Parent: MON-01, RUN-01</x:v>
      </x:c>
      <x:c r="F11" s="26" t="str">
        <x:f>'Tracker'!G164</x:f>
        <x:v>A service-stop timeout retains real observer timers and process identities; only verified terminated services permit cleanup.</x:v>
      </x:c>
      <x:c r="G11" s="26" t="str">
        <x:f>'Tracker'!N164</x:f>
        <x:v>Reported in PREPARED_HARNESS_CONFLICT; included in running WORK-01. Final fix evidence not supplied.</x:v>
      </x:c>
      <x:c r="H11" s="26" t="str">
        <x:f>'Tracker'!O164</x:f>
        <x:v>Resolve within the linked parent/active task; capture exact evidence before closure.</x:v>
      </x:c>
      <x:c r="I11" s="26" t="str">
        <x:f>'Tracker'!P164</x:f>
        <x:v>S11, S15 | Parent requirement(s): MON-01,RUN-01</x:v>
      </x:c>
    </x:row>
    <x:row r="12" ht="108" customHeight="1">
      <x:c r="A12" s="26" t="str">
        <x:f>'Tracker'!A165</x:f>
        <x:v>PERF-01</x:v>
      </x:c>
      <x:c r="B12" s="26" t="str">
        <x:f>'Tracker'!D165</x:f>
        <x:v>OPEN</x:v>
      </x:c>
      <x:c r="C12" s="26" t="str">
        <x:f>'Tracker'!E165</x:f>
        <x:v>Establish first-cycle and sustained timing under existing 240s contract.</x:v>
      </x:c>
      <x:c r="D12" s="26" t="str">
        <x:f>'Tracker'!F165</x:f>
        <x:v>Latest retained 266.7s first cycle blocked the one-hour run; shutdown cycle is not a normal distribution.</x:v>
      </x:c>
      <x:c r="E12" s="26" t="str">
        <x:f>'Tracker'!I165</x:f>
        <x:v>Prereqs: — | Parent: RUN-03</x:v>
      </x:c>
      <x:c r="F12" s="26" t="str">
        <x:f>'Tracker'!G165</x:f>
        <x:v>Approved instrumented run distinguishes boot/first/recurring/shutdown and establishes agreed safety envelope with unchanged workload and complete gaps, or records precise remaining failure.</x:v>
      </x:c>
      <x:c r="G12" s="26" t="str">
        <x:f>'Tracker'!N165</x:f>
        <x:v>S16: first cycle 259.776s, stop requested at 240.033s, 79.281 thread-CPU seconds; 13.13s unattributed exclusive time. evidence.store 30.747s, market.load 21.668s, Journal.query 17.117s, learning.capture.snapshot 15.109s. Recurring timing is NOT_MEASURED.</x:v>
      </x:c>
      <x:c r="H12" s="26" t="str">
        <x:f>'Tracker'!O165</x:f>
        <x:v>Dots first verifies local artifact identities, then attributes existing evidence-store waits/repeated work in a read-only diagnosis. Name one justified change and its closing proof; do not infer CPU/GIL or database-wait causality from wall-minus-CPU.</x:v>
      </x:c>
      <x:c r="I12" s="26" t="str">
        <x:f>'Tracker'!P165</x:f>
        <x:v>S05, S06, S07, S11, S16 | Parent requirement(s): RUN-03</x:v>
      </x:c>
    </x:row>
    <x:row r="13" ht="108" customHeight="1">
      <x:c r="A13" s="26" t="str">
        <x:f>'Tracker'!A166</x:f>
        <x:v>PERF-02</x:v>
      </x:c>
      <x:c r="B13" s="26" t="str">
        <x:f>'Tracker'!D166</x:f>
        <x:v>CLOSED</x:v>
      </x:c>
      <x:c r="C13" s="26" t="str">
        <x:f>'Tracker'!E166</x:f>
        <x:v>Remove heavy imports from frequent safety/heartbeat observer startup.</x:v>
      </x:c>
      <x:c r="D13" s="26" t="str">
        <x:f>'Tracker'!F166</x:f>
        <x:v>34 observer invocations consumed 70.164 CPU seconds in the recorded window, dominated by imports.</x:v>
      </x:c>
      <x:c r="E13" s="26" t="str">
        <x:f>'Tracker'!I166</x:f>
        <x:v>Prereqs: — | Parent: MON-03</x:v>
      </x:c>
      <x:c r="F13" s="26" t="str">
        <x:f>'Tracker'!G166</x:f>
        <x:v>Patched actual monitor path excludes heavy dependencies; full CLI behavior/safety unchanged; fresh-process focused tests pass. Kernel improvement is a separate item.</x:v>
      </x:c>
      <x:c r="G13" s="26" t="str">
        <x:f>'Tracker'!N166</x:f>
        <x:v>34 tests reported; median wall import 1.354227s → 0.073787s; exact two-file commit 9385f792…; effect on Kernel remains NOT_YET_MEASURED. S16 observer median imports heartbeat 0.050s/storage 0.049s; total observer CPU 4.627s. No Kernel speedup is causally attributed.</x:v>
      </x:c>
      <x:c r="H13" s="26" t="str">
        <x:f>'Tracker'!O166</x:f>
        <x:v>No new work; reopen only for a reproducible regression.</x:v>
      </x:c>
      <x:c r="I13" s="26" t="str">
        <x:f>'Tracker'!P166</x:f>
        <x:v>S07, S06, S16 | Parent requirement(s): MON-03</x:v>
      </x:c>
    </x:row>
    <x:row r="14" ht="108" customHeight="1">
      <x:c r="A14" s="26" t="str">
        <x:f>'Tracker'!A167</x:f>
        <x:v>PERF-03</x:v>
      </x:c>
      <x:c r="B14" s="26" t="str">
        <x:f>'Tracker'!D167</x:f>
        <x:v>OPEN</x:v>
      </x:c>
      <x:c r="C14" s="26" t="str">
        <x:f>'Tracker'!E167</x:f>
        <x:v>Bring Attention producer capture within its approved budget or resolve the contract explicitly.</x:v>
      </x:c>
      <x:c r="D14" s="26" t="str">
        <x:f>'Tracker'!F167</x:f>
        <x:v>Capture measured ~1,068ms and ~865ms against 50ms advisory budget; substage cause unattributed.</x:v>
      </x:c>
      <x:c r="E14" s="26" t="str">
        <x:f>'Tracker'!I167</x:f>
        <x:v>Prereqs: — | Parent: ATT-02, RUN-06</x:v>
      </x:c>
      <x:c r="F14" s="26" t="str">
        <x:f>'Tracker'!G167</x:f>
        <x:v>Measured dominant capture work corrected with provenance/coverage unchanged; actual capture costs meet approved contract. Any policy change needs explicit owner decision, not silent widening.</x:v>
      </x:c>
      <x:c r="G14" s="26" t="str">
        <x:f>'Tracker'!N167</x:f>
        <x:v>S16 capture 535.604ms versus existing 50ms advisory budget; scan and causes proofs recorded. Substage/overhead attribution incomplete; no threshold change approved.</x:v>
      </x:c>
      <x:c r="H14" s="26" t="str">
        <x:f>'Tracker'!O167</x:f>
        <x:v>Resolve within the linked parent/active task; capture exact evidence before closure.</x:v>
      </x:c>
      <x:c r="I14" s="26" t="str">
        <x:f>'Tracker'!P167</x:f>
        <x:v>S05, S06, S16 | Parent requirement(s): ATT-02,RUN-06</x:v>
      </x:c>
    </x:row>
    <x:row r="15" ht="108" customHeight="1">
      <x:c r="A15" s="26" t="str">
        <x:f>'Tracker'!A168</x:f>
        <x:v>FIX-01</x:v>
      </x:c>
      <x:c r="B15" s="26" t="str">
        <x:f>'Tracker'!D168</x:f>
        <x:v>CLOSED</x:v>
      </x:c>
      <x:c r="C15" s="26" t="str">
        <x:f>'Tracker'!E168</x:f>
        <x:v>Use bounded informative committed-write probes; separate integrity.</x:v>
      </x:c>
      <x:c r="D15" s="26" t="str">
        <x:f>'Tracker'!F168</x:f>
        <x:v>Zero-timeout probe collapsed SQLite errors and could treat legitimate writer contention as generic failure.</x:v>
      </x:c>
      <x:c r="E15" s="26" t="str">
        <x:f>'Tracker'!I168</x:f>
        <x:v>Prereqs: — | Parent: MON-02, MON-03</x:v>
      </x:c>
      <x:c r="F15" s="26" t="str">
        <x:f>'Tracker'!G168</x:f>
        <x:v>Bounded actual write commit, phase/code diagnostics, independent heartbeat and separate integrity pass real BUSY/FULL/READONLY/IOERR tests; original historical cause remains unknown.</x:v>
      </x:c>
      <x:c r="G15" s="26" t="str">
        <x:f>'Tracker'!N168</x:f>
        <x:v>958c9eb… reported 906 focused checks; 10 runtime committed probes with no SQLite failure in that window. Historical original error was not recoverable.</x:v>
      </x:c>
      <x:c r="H15" s="26" t="str">
        <x:f>'Tracker'!O168</x:f>
        <x:v>No new work; reopen only for a reproducible regression.</x:v>
      </x:c>
      <x:c r="I15" s="26" t="str">
        <x:f>'Tracker'!P168</x:f>
        <x:v>S05 | Parent requirement(s): MON-02,MON-03</x:v>
      </x:c>
    </x:row>
    <x:row r="16" ht="108" customHeight="1">
      <x:c r="A16" s="26" t="str">
        <x:f>'Tracker'!A169</x:f>
        <x:v>FIX-02</x:v>
      </x:c>
      <x:c r="B16" s="26" t="str">
        <x:f>'Tracker'!D169</x:f>
        <x:v>CLOSED</x:v>
      </x:c>
      <x:c r="C16" s="26" t="str">
        <x:f>'Tracker'!E169</x:f>
        <x:v>Preserve nullable supersedes metadata through Attention transport.</x:v>
      </x:c>
      <x:c r="D16" s="26" t="str">
        <x:f>'Tracker'!F169</x:f>
        <x:v>Optional absent predecessor became pandas NaN and broke strict parent transport.</x:v>
      </x:c>
      <x:c r="E16" s="26" t="str">
        <x:f>'Tracker'!I169</x:f>
        <x:v>Prereqs: — | Parent: ATT-02</x:v>
      </x:c>
      <x:c r="F16" s="26" t="str">
        <x:f>'Tracker'!G169</x:f>
        <x:v>Seven retained cases traverse actual Collector/worker/store/completion proof; required invalid/future fields still refuse; failed scans remain distinct from empty valid scans.</x:v>
      </x:c>
      <x:c r="G16" s="26" t="str">
        <x:f>'Tracker'!N169</x:f>
        <x:v>958c9eb… normal scan completed; 16 warmup refusals, zero live worker/capture errors in limited window. Reconstructed original cuts explicitly labelled.</x:v>
      </x:c>
      <x:c r="H16" s="26" t="str">
        <x:f>'Tracker'!O169</x:f>
        <x:v>No new work; reopen only for a reproducible regression.</x:v>
      </x:c>
      <x:c r="I16" s="26" t="str">
        <x:f>'Tracker'!P169</x:f>
        <x:v>S05 | Parent requirement(s): ATT-02</x:v>
      </x:c>
    </x:row>
    <x:row r="17" ht="108" customHeight="1">
      <x:c r="A17" s="26" t="str">
        <x:f>'Tracker'!A170</x:f>
        <x:v>FIX-03</x:v>
      </x:c>
      <x:c r="B17" s="26" t="str">
        <x:f>'Tracker'!D170</x:f>
        <x:v>CLOSED</x:v>
      </x:c>
      <x:c r="C17" s="26" t="str">
        <x:f>'Tracker'!E170</x:f>
        <x:v>Normalize optional nullable target metadata without coercing required NaN.</x:v>
      </x:c>
      <x:c r="D17" s="26" t="str">
        <x:f>'Tracker'!F170</x:f>
        <x:v>Two forward captures refused absent supersedes represented as NaN.</x:v>
      </x:c>
      <x:c r="E17" s="26" t="str">
        <x:f>'Tracker'!I170</x:f>
        <x:v>Prereqs: — | Parent: OUT-02, LRN-01</x:v>
      </x:c>
      <x:c r="F17" s="26" t="str">
        <x:f>'Tracker'!G170</x:f>
        <x:v>Exact retained target paths replay COMPLETE in isolated fixtures without duplicate retries; required non-finite values still refuse; production historical refusals are preserved.</x:v>
      </x:c>
      <x:c r="G17" s="26" t="str">
        <x:f>'Tracker'!N170</x:f>
        <x:v>HYPE/QNT retained cases fixed at 958c9eb…; no historical backfill authorized.</x:v>
      </x:c>
      <x:c r="H17" s="26" t="str">
        <x:f>'Tracker'!O170</x:f>
        <x:v>No new work; reopen only for a reproducible regression.</x:v>
      </x:c>
      <x:c r="I17" s="26" t="str">
        <x:f>'Tracker'!P170</x:f>
        <x:v>S05 | Parent requirement(s): OUT-02,LRN-01</x:v>
      </x:c>
    </x:row>
    <x:row r="18" ht="108" customHeight="1">
      <x:c r="A18" s="26" t="str">
        <x:f>'Tracker'!A171</x:f>
        <x:v>FIX-04</x:v>
      </x:c>
      <x:c r="B18" s="26" t="str">
        <x:f>'Tracker'!D171</x:f>
        <x:v>CLOSED</x:v>
      </x:c>
      <x:c r="C18" s="26" t="str">
        <x:f>'Tracker'!E171</x:f>
        <x:v>Eliminate multiplied universe/provenance evidence storage.</x:v>
      </x:c>
      <x:c r="D18" s="26" t="str">
        <x:f>'Tracker'!F171</x:f>
        <x:v>brain_events occupied 65.123GB; a cycle wrote ~637MB repeated detail and filled the volume.</x:v>
      </x:c>
      <x:c r="E18" s="26" t="str">
        <x:f>'Tracker'!I171</x:f>
        <x:v>Prereqs: — | Parent: DATA-07, DATA-12</x:v>
      </x:c>
      <x:c r="F18" s="26" t="str">
        <x:f>'Tracker'!G171</x:f>
        <x:v>Lossless exact references/readers preserve all events and historical hashes; representative and multi-cycle storage grow by unique evidence/reference metadata, not repeated histories.</x:v>
      </x:c>
      <x:c r="G18" s="26" t="str">
        <x:f>'Tracker'!N171</x:f>
        <x:v>4,696 events preserved; compact candidate ~2.89GB; installed later; bounded runtime storage observation improved. All-writer long-term retention remains separate.</x:v>
      </x:c>
      <x:c r="H18" s="26" t="str">
        <x:f>'Tracker'!O171</x:f>
        <x:v>No new work; reopen only for a reproducible regression.</x:v>
      </x:c>
      <x:c r="I18" s="26" t="str">
        <x:f>'Tracker'!P171</x:f>
        <x:v>S13, S08 | Parent requirement(s): DATA-07,DATA-12</x:v>
      </x:c>
    </x:row>
    <x:row r="19" ht="108" customHeight="1">
      <x:c r="A19" s="26" t="str">
        <x:f>'Tracker'!A172</x:f>
        <x:v>FIX-05</x:v>
      </x:c>
      <x:c r="B19" s="26" t="str">
        <x:f>'Tracker'!D172</x:f>
        <x:v>CLOSED</x:v>
      </x:c>
      <x:c r="C19" s="26" t="str">
        <x:f>'Tracker'!E172</x:f>
        <x:v>Pass bounded verified Attention source into Portfolio without full repeated receipts.</x:v>
      </x:c>
      <x:c r="D19" s="26" t="str">
        <x:f>'Tracker'!F172</x:f>
        <x:v>Normal Attention scan was 16,226,290 bytes versus 2,097,152 reader bound.</x:v>
      </x:c>
      <x:c r="E19" s="26" t="str">
        <x:f>'Tracker'!I172</x:f>
        <x:v>Prereqs: — | Parent: PORT-08, ATT-02</x:v>
      </x:c>
      <x:c r="F19" s="26" t="str">
        <x:f>'Tracker'!G172</x:f>
        <x:v>Actual producer/reader pass at observed scale through exact immutable references within original limit/deadline; no dropped evidence or fabricated current data.</x:v>
      </x:c>
      <x:c r="G19" s="26" t="str">
        <x:f>'Tracker'!N172</x:f>
        <x:v>b880e52… reader 1.004–2.057s; later source-reader exact hash proof passed.</x:v>
      </x:c>
      <x:c r="H19" s="26" t="str">
        <x:f>'Tracker'!O172</x:f>
        <x:v>No new work; reopen only for a reproducible regression.</x:v>
      </x:c>
      <x:c r="I19" s="26" t="str">
        <x:f>'Tracker'!P172</x:f>
        <x:v>S05, S13 | Parent requirement(s): PORT-08,ATT-02</x:v>
      </x:c>
    </x:row>
    <x:row r="20" ht="108" customHeight="1">
      <x:c r="A20" s="26" t="str">
        <x:f>'Tracker'!A173</x:f>
        <x:v>FIX-06</x:v>
      </x:c>
      <x:c r="B20" s="26" t="str">
        <x:f>'Tracker'!D173</x:f>
        <x:v>CLOSED</x:v>
      </x:c>
      <x:c r="C20" s="26" t="str">
        <x:f>'Tracker'!E173</x:f>
        <x:v>Enforce brain.enabled=false at the actual provider admission boundary.</x:v>
      </x:c>
      <x:c r="D20" s="26" t="str">
        <x:f>'Tracker'!F173</x:f>
        <x:v>A successful DeepSeek request contradicted the claimed disabled state; original admission ignored enabled.</x:v>
      </x:c>
      <x:c r="E20" s="26" t="str">
        <x:f>'Tracker'!I173</x:f>
        <x:v>Prereqs: — | Parent: LLM-02</x:v>
      </x:c>
      <x:c r="F20" s="26" t="str">
        <x:f>'Tracker'!G173</x:f>
        <x:v>All relevant shared call paths make zero fake/real attempts while disabled; budgets/usage preserved; actual caller attribution handled separately.</x:v>
      </x:c>
      <x:c r="G20" s="26" t="str">
        <x:f>'Tracker'!N173</x:f>
        <x:v>Patched disablement test passed; subsequent bounded windows reported zero attempts/unchanged ledger.</x:v>
      </x:c>
      <x:c r="H20" s="26" t="str">
        <x:f>'Tracker'!O173</x:f>
        <x:v>No new work; reopen only for a reproducible regression.</x:v>
      </x:c>
      <x:c r="I20" s="26" t="str">
        <x:f>'Tracker'!P173</x:f>
        <x:v>S13, S05, S07 | Parent requirement(s): LLM-02</x:v>
      </x:c>
    </x:row>
    <x:row r="21" ht="108" customHeight="1">
      <x:c r="A21" s="26" t="str">
        <x:f>'Tracker'!A174</x:f>
        <x:v>OPEN-01</x:v>
      </x:c>
      <x:c r="B21" s="26" t="str">
        <x:f>'Tracker'!D174</x:f>
        <x:v>OPEN</x:v>
      </x:c>
      <x:c r="C21" s="26" t="str">
        <x:f>'Tracker'!E174</x:f>
        <x:v>Explain and resolve research execution starvation under the existing busy gate.</x:v>
      </x:c>
      <x:c r="D21" s="26" t="str">
        <x:f>'Tracker'!F174</x:f>
        <x:v>Cycles can be below 240s yet all exceed the research 45s busy threshold.</x:v>
      </x:c>
      <x:c r="E21" s="26" t="str">
        <x:f>'Tracker'!I174</x:f>
        <x:v>Prereqs: — | Parent: RUN-04, RES-09</x:v>
      </x:c>
      <x:c r="F21" s="26" t="str">
        <x:f>'Tracker'!G174</x:f>
        <x:v>Worker attempt/gate/resource evidence establishes intended research scheduling and supported progress when eligible, without starving safety or silently relaxing policy.</x:v>
      </x:c>
      <x:c r="G21" s="26" t="str">
        <x:f>'Tracker'!N174</x:f>
        <x:v>Retained worker map: 300s startup delay, 60s checks, 45s busy gate; no experiment output observed. Latest S16 task ended before research's 300s initial wake: no busy-gate refusal was observed in that attempt. Earlier gate observations remain historical.</x:v>
      </x:c>
      <x:c r="H21" s="26" t="str">
        <x:f>'Tracker'!O174</x:f>
        <x:v>Resolve within the linked parent/active task; capture exact evidence before closure.</x:v>
      </x:c>
      <x:c r="I21" s="26" t="str">
        <x:f>'Tracker'!P174</x:f>
        <x:v>S05, S06, S16 | Parent requirement(s): RUN-04,RES-09</x:v>
      </x:c>
    </x:row>
    <x:row r="22" ht="108" customHeight="1">
      <x:c r="A22" s="26" t="str">
        <x:f>'Tracker'!A175</x:f>
        <x:v>OPEN-02</x:v>
      </x:c>
      <x:c r="B22" s="26" t="str">
        <x:f>'Tracker'!D175</x:f>
        <x:v>AWAITING_OWNER</x:v>
      </x:c>
      <x:c r="C22" s="26" t="str">
        <x:f>'Tracker'!E175</x:f>
        <x:v>Make external question-driven worker rollout explicit.</x:v>
      </x:c>
      <x:c r="D22" s="26" t="str">
        <x:f>'Tracker'!F175</x:f>
        <x:v>Supported CLI exists, but source inspection found no automatic Kernel/watchdog launcher and no retained execution proof.</x:v>
      </x:c>
      <x:c r="E22" s="26" t="str">
        <x:f>'Tracker'!I175</x:f>
        <x:v>Prereqs: — | Parent: RES-02, RES-09</x:v>
      </x:c>
      <x:c r="F22" s="26" t="str">
        <x:f>'Tracker'!G175</x:f>
        <x:v>Approved observation/release scope identifies launcher/configuration and demonstrates generated question→normal worker→Bank with authority unchanged, or explicitly defers that rollout.</x:v>
      </x:c>
      <x:c r="G22" s="26" t="str">
        <x:f>'Tracker'!N175</x:f>
        <x:v>S06 distinguishes the external question-driven CLI from busy-gated quant research.</x:v>
      </x:c>
      <x:c r="H22" s="26" t="str">
        <x:f>'Tracker'!O175</x:f>
        <x:v>Resolve within the linked parent/active task; capture exact evidence before closure.</x:v>
      </x:c>
      <x:c r="I22" s="26" t="str">
        <x:f>'Tracker'!P175</x:f>
        <x:v>S06 | Parent requirement(s): RES-02,RES-09</x:v>
      </x:c>
    </x:row>
    <x:row r="23" ht="108" customHeight="1">
      <x:c r="A23" s="26" t="str">
        <x:f>'Tracker'!A176</x:f>
        <x:v>OPEN-03</x:v>
      </x:c>
      <x:c r="B23" s="26" t="str">
        <x:f>'Tracker'!D176</x:f>
        <x:v>AWAITING_OWNER</x:v>
      </x:c>
      <x:c r="C23" s="26" t="str">
        <x:f>'Tracker'!E176</x:f>
        <x:v>Define intended FROZEN observation worker coverage.</x:v>
      </x:c>
      <x:c r="D23" s="26" t="str">
        <x:f>'Tracker'!F176</x:f>
        <x:v>watchdog.off also suppresses accounting, investigations, population and Attention-learning, not only restarts.</x:v>
      </x:c>
      <x:c r="E23" s="26" t="str">
        <x:f>'Tracker'!I176</x:f>
        <x:v>Prereqs: — | Parent: RUN-04, OWN-04</x:v>
      </x:c>
      <x:c r="F23" s="26" t="str">
        <x:f>'Tracker'!G176</x:f>
        <x:v>An owner-approved workload map identifies what will run/why and what that run can prove; disabled parts are not falsely marked operational.</x:v>
      </x:c>
      <x:c r="G23" s="26" t="str">
        <x:f>'Tracker'!N176</x:f>
        <x:v>Flags/configs may be enabled but watchdog early-return suppresses launch. Current task preserves this workload.</x:v>
      </x:c>
      <x:c r="H23" s="26" t="str">
        <x:f>'Tracker'!O176</x:f>
        <x:v>Resolve within the linked parent/active task; capture exact evidence before closure.</x:v>
      </x:c>
      <x:c r="I23" s="26" t="str">
        <x:f>'Tracker'!P176</x:f>
        <x:v>S05, S06, S15 | Parent requirement(s): RUN-04,OWN-04</x:v>
      </x:c>
    </x:row>
    <x:row r="24" ht="108" customHeight="1">
      <x:c r="A24" s="26" t="str">
        <x:f>'Tracker'!A177</x:f>
        <x:v>OPEN-04</x:v>
      </x:c>
      <x:c r="B24" s="26" t="str">
        <x:f>'Tracker'!D177</x:f>
        <x:v>OPEN</x:v>
      </x:c>
      <x:c r="C24" s="26" t="str">
        <x:f>'Tracker'!E177</x:f>
        <x:v>Add exact journal logical retry idempotency where still absent.</x:v>
      </x:c>
      <x:c r="D24" s="26" t="str">
        <x:f>'Tracker'!F177</x:f>
        <x:v>Compacted identical append retry reuses payload but adds another event reference.</x:v>
      </x:c>
      <x:c r="E24" s="26" t="str">
        <x:f>'Tracker'!I177</x:f>
        <x:v>Prereqs: — | Parent: DATA-08</x:v>
      </x:c>
      <x:c r="F24" s="26" t="str">
        <x:f>'Tracker'!G177</x:f>
        <x:v>Measured actual writer distinguishes retry identity from a distinct observation; retry adds no second event and reconstruction/legacy behavior stay valid.</x:v>
      </x:c>
      <x:c r="G24" s="26" t="str">
        <x:f>'Tracker'!N177</x:f>
        <x:v>S08: learning-registration retry adds zero; journal append retry adds references. Current revision recheck required before implementation.</x:v>
      </x:c>
      <x:c r="H24" s="26" t="str">
        <x:f>'Tracker'!O177</x:f>
        <x:v>Resolve within the linked parent/active task; capture exact evidence before closure.</x:v>
      </x:c>
      <x:c r="I24" s="26" t="str">
        <x:f>'Tracker'!P177</x:f>
        <x:v>S08 | Parent requirement(s): DATA-08</x:v>
      </x:c>
    </x:row>
    <x:row r="25" ht="108" customHeight="1">
      <x:c r="A25" s="26" t="str">
        <x:f>'Tracker'!A178</x:f>
        <x:v>OPEN-05</x:v>
      </x:c>
      <x:c r="B25" s="26" t="str">
        <x:f>'Tracker'!D178</x:f>
        <x:v>OPEN</x:v>
      </x:c>
      <x:c r="C25" s="26" t="str">
        <x:f>'Tracker'!E178</x:f>
        <x:v>Evaluate remaining vote/replay/source-metadata duplication.</x:v>
      </x:c>
      <x:c r="D25" s="26" t="str">
        <x:f>'Tracker'!F178</x:f>
        <x:v>Inventory measured 557.45MB repeated vote text and 10.90MB embedded replay strings.</x:v>
      </x:c>
      <x:c r="E25" s="26" t="str">
        <x:f>'Tracker'!I178</x:f>
        <x:v>Prereqs: — | Parent: DATA-07</x:v>
      </x:c>
      <x:c r="F25" s="26" t="str">
        <x:f>'Tracker'!G178</x:f>
        <x:v>Recheck current representation, then justify any lossless change by measured saving including index/reference overhead; retain exact observation/time semantics.</x:v>
      </x:c>
      <x:c r="G25" s="26" t="str">
        <x:f>'Tracker'!N178</x:f>
        <x:v>Inventory is historical/partial; logical repeated bytes are not guaranteed physical savings; all audited blobs referenced.</x:v>
      </x:c>
      <x:c r="H25" s="26" t="str">
        <x:f>'Tracker'!O178</x:f>
        <x:v>Resolve within the linked parent/active task; capture exact evidence before closure.</x:v>
      </x:c>
      <x:c r="I25" s="26" t="str">
        <x:f>'Tracker'!P178</x:f>
        <x:v>S08 | Parent requirement(s): DATA-07</x:v>
      </x:c>
    </x:row>
    <x:row r="26" ht="108" customHeight="1">
      <x:c r="A26" s="26" t="str">
        <x:f>'Tracker'!A179</x:f>
        <x:v>OPEN-06</x:v>
      </x:c>
      <x:c r="B26" s="26" t="str">
        <x:f>'Tracker'!D179</x:f>
        <x:v>AWAITING_OWNER</x:v>
      </x:c>
      <x:c r="C26" s="26" t="str">
        <x:f>'Tracker'!E179</x:f>
        <x:v>Approve cross-store usefulness, retention and archival rules.</x:v>
      </x:c>
      <x:c r="D26" s="26" t="str">
        <x:f>'Tracker'!F179</x:f>
        <x:v>No entire active collection proven useless; journal/Portfolio append history lacks unified policy.</x:v>
      </x:c>
      <x:c r="E26" s="26" t="str">
        <x:f>'Tracker'!I179</x:f>
        <x:v>Prereqs: — | Parent: DATA-09</x:v>
      </x:c>
      <x:c r="F26" s="26" t="str">
        <x:f>'Tracker'!G179</x:f>
        <x:v>Each collection has purpose, measured growth, dependencies and approved action. Retention cannot silently destroy exact required replay or failed research.</x:v>
      </x:c>
      <x:c r="G26" s="26" t="str">
        <x:f>'Tracker'!N179</x:f>
        <x:v>S08 covers 71 tables and major stores, not every cross-store relationship; original owner wants no redundant/useless collection.</x:v>
      </x:c>
      <x:c r="H26" s="26" t="str">
        <x:f>'Tracker'!O179</x:f>
        <x:v>Resolve within the linked parent/active task; capture exact evidence before closure.</x:v>
      </x:c>
      <x:c r="I26" s="26" t="str">
        <x:f>'Tracker'!P179</x:f>
        <x:v>S08, S09 | Parent requirement(s): DATA-09</x:v>
      </x:c>
    </x:row>
    <x:row r="27" ht="108" customHeight="1">
      <x:c r="A27" s="26" t="str">
        <x:f>'Tracker'!A180</x:f>
        <x:v>OPEN-07</x:v>
      </x:c>
      <x:c r="B27" s="26" t="str">
        <x:f>'Tracker'!D180</x:f>
        <x:v>AWAITING_EVIDENCE</x:v>
      </x:c>
      <x:c r="C27" s="26" t="str">
        <x:f>'Tracker'!E180</x:f>
        <x:v>Establish prospective terminal decision/outcome/learning completeness.</x:v>
      </x:c>
      <x:c r="D27" s="26" t="str">
        <x:f>'Tracker'!F180</x:f>
        <x:v>Historical 2,990 chains incomplete and some execution/decision linkages absent; new producer health must be tested prospectively.</x:v>
      </x:c>
      <x:c r="E27" s="26" t="str">
        <x:f>'Tracker'!I180</x:f>
        <x:v>Prereqs: — | Parent: OUT-01, OUT-02, LRN-01</x:v>
      </x:c>
      <x:c r="F27" s="26" t="str">
        <x:f>'Tracker'!G180</x:f>
        <x:v>A new eligible normal chain reaches correct terminal measurement/replay under its actual stage contract; missing horizons/roles stay explicit. No old-data reconstruction required.</x:v>
      </x:c>
      <x:c r="G27" s="26" t="str">
        <x:f>'Tracker'!N180</x:f>
        <x:v>S08 historical inventory; later NaN fix proves two isolated paths, not all prospective learning maturity.</x:v>
      </x:c>
      <x:c r="H27" s="26" t="str">
        <x:f>'Tracker'!O180</x:f>
        <x:v>Resolve within the linked parent/active task; capture exact evidence before closure.</x:v>
      </x:c>
      <x:c r="I27" s="26" t="str">
        <x:f>'Tracker'!P180</x:f>
        <x:v>S08, S05 | Parent requirement(s): OUT-01,OUT-02,LRN-01</x:v>
      </x:c>
    </x:row>
    <x:row r="28" ht="108" customHeight="1">
      <x:c r="A28" s="26" t="str">
        <x:f>'Tracker'!A181</x:f>
        <x:v>OPEN-08</x:v>
      </x:c>
      <x:c r="B28" s="26" t="str">
        <x:f>'Tracker'!D181</x:f>
        <x:v>OPEN</x:v>
      </x:c>
      <x:c r="C28" s="26" t="str">
        <x:f>'Tracker'!E181</x:f>
        <x:v>Add exact per-call purpose/caller/model/usage/cost attribution.</x:v>
      </x:c>
      <x:c r="D28" s="26" t="str">
        <x:f>'Tracker'!F181</x:f>
        <x:v>Successful provider call lacked PID/caller proof; daily token totals cannot establish money.</x:v>
      </x:c>
      <x:c r="E28" s="26" t="str">
        <x:f>'Tracker'!I181</x:f>
        <x:v>Prereqs: — | Parent: LLM-04</x:v>
      </x:c>
      <x:c r="F28" s="26" t="str">
        <x:f>'Tracker'!G181</x:f>
        <x:v>Prospective attempts/failures/unknowns bind caller/task/run and actual usage; monetary claims use authoritative cost evidence; no paid test call required.</x:v>
      </x:c>
      <x:c r="G28" s="26" t="str">
        <x:f>'Tracker'!N181</x:f>
        <x:v>S08 and storage incident. Provider currently disabled, so no new paid collection is authorized.</x:v>
      </x:c>
      <x:c r="H28" s="26" t="str">
        <x:f>'Tracker'!O181</x:f>
        <x:v>Resolve within the linked parent/active task; capture exact evidence before closure.</x:v>
      </x:c>
      <x:c r="I28" s="26" t="str">
        <x:f>'Tracker'!P181</x:f>
        <x:v>S08, S13 | Parent requirement(s): LLM-04</x:v>
      </x:c>
    </x:row>
    <x:row r="29" ht="108" customHeight="1">
      <x:c r="A29" s="26" t="str">
        <x:f>'Tracker'!A182</x:f>
        <x:v>OPEN-09</x:v>
      </x:c>
      <x:c r="B29" s="26" t="str">
        <x:f>'Tracker'!D182</x:f>
        <x:v>IN_PROGRESS</x:v>
      </x:c>
      <x:c r="C29" s="26" t="str">
        <x:f>'Tracker'!E182</x:f>
        <x:v>Adopt and reconcile the tracker without creating duplicate authorities.</x:v>
      </x:c>
      <x:c r="D29" s="26" t="str">
        <x:f>'Tracker'!F182</x:f>
        <x:v>The new file must become a maintained plan, not another stale report.</x:v>
      </x:c>
      <x:c r="E29" s="26" t="str">
        <x:f>'Tracker'!I182</x:f>
        <x:v>Prereqs: — | Parent: GOV-01, GOV-02, GUX-11</x:v>
      </x:c>
      <x:c r="F29" s="26" t="str">
        <x:f>'Tracker'!G182</x:f>
        <x:v>Owner accepts verification details/representation; row-level evidence is mapped; SDD remains target, STATE current summary/ledger and NEXT one active ID. Export/sync ownership is explicit.</x:v>
      </x:c>
      <x:c r="G29" s="26" t="str">
        <x:f>'Tracker'!N182</x:f>
        <x:v>S17: owner explicitly requested all three files in repository and Dots action/VM setup. Publication is authorized; complete evidence mapping and individual draft criteria are not established by that request.</x:v>
      </x:c>
      <x:c r="H29" s="26" t="str">
        <x:f>'Tracker'!O182</x:f>
        <x:v>Import the three matched artifact files, verify hashes and current 176 IDs, link STATE/NEXT without competing authority, and verify local Dots reads. No runtime restart or paid provider action.</x:v>
      </x:c>
      <x:c r="I29" s="26" t="str">
        <x:f>'Tracker'!P182</x:f>
        <x:v>S01, S09, S10, S17 | Parent requirement(s): GOV-01,GOV-02,GUX-11</x:v>
      </x:c>
    </x:row>
  </x:sheetData>
  <x:mergeCells>
    <x:mergeCell ref="A1:I2"/>
    <x:mergeCell ref="A3:I4"/>
  </x:mergeCells>
  <x:conditionalFormatting sqref="B7:B29">
    <x:cfRule type="expression" dxfId="16" priority="1">
      <x:formula>B7="IN_PROGRESS"</x:formula>
    </x:cfRule>
    <x:cfRule type="expression" dxfId="17" priority="2">
      <x:formula>B7="OPEN"</x:formula>
    </x:cfRule>
    <x:cfRule type="expression" dxfId="18" priority="3">
      <x:formula>B7="BLOCKED"</x:formula>
    </x:cfRule>
    <x:cfRule type="expression" dxfId="19" priority="4">
      <x:formula>B7="AWAITING_EVIDENCE"</x:formula>
    </x:cfRule>
    <x:cfRule type="expression" dxfId="20" priority="5">
      <x:formula>B7="AWAITING_OWNER"</x:formula>
    </x:cfRule>
    <x:cfRule type="expression" dxfId="21" priority="6">
      <x:formula>B7="EVIDENCE_TO_MAP"</x:formula>
    </x:cfRule>
    <x:cfRule type="expression" dxfId="22" priority="7">
      <x:formula>B7="CLOSED"</x:formula>
    </x:cfRule>
    <x:cfRule type="expression" dxfId="23" priority="8">
      <x:formula>B7="DEFERRED"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85b3de27734d7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7" hidden="0" customWidth="1"/>
    <x:col min="3" max="3" width="72" hidden="0" customWidth="1"/>
    <x:col min="4" max="4" width="78" hidden="0" customWidth="1"/>
    <x:col min="5" max="5" width="65" hidden="0" customWidth="1"/>
    <x:col min="6" max="6" width="67" hidden="0" customWidth="1"/>
  </x:cols>
  <x:sheetData>
    <x:row r="1" ht="24" customHeight="1">
      <x:c r="A1" s="4" t="str">
        <x:v>LUFFY | PRODUCT READINESS GATES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3" customHeight="1">
      <x:c r="A3" s="11" t="str">
        <x:v>Proposed grouping of existing requirements; not new automatic launch gates. Policy and real-money activation remain explicit owner decisions.</x:v>
      </x:c>
      <x:c r="B3" s="11"/>
      <x:c r="C3" s="11"/>
      <x:c r="D3" s="11"/>
      <x:c r="E3" s="11"/>
      <x:c r="F3" s="11"/>
    </x:row>
    <x:row r="4" ht="23" customHeight="1">
      <x:c r="A4" s="11"/>
      <x:c r="B4" s="11"/>
      <x:c r="C4" s="11"/>
      <x:c r="D4" s="11"/>
      <x:c r="E4" s="11"/>
      <x:c r="F4" s="11"/>
    </x:row>
    <x:row r="6" ht="32" customHeight="1">
      <x:c r="A6" s="19" t="str">
        <x:v>Gate</x:v>
      </x:c>
      <x:c r="B6" s="19" t="str">
        <x:v>Outcome</x:v>
      </x:c>
      <x:c r="C6" s="19" t="str">
        <x:v>Required item IDs</x:v>
      </x:c>
      <x:c r="D6" s="19" t="str">
        <x:v>Close when</x:v>
      </x:c>
      <x:c r="E6" s="19" t="str">
        <x:v>Current evidence state</x:v>
      </x:c>
      <x:c r="F6" s="19" t="str">
        <x:v>Limit / warning</x:v>
      </x:c>
    </x:row>
    <x:row r="7" ht="108" customHeight="1">
      <x:c r="A7" s="26" t="str">
        <x:v>M0</x:v>
      </x:c>
      <x:c r="B7" s="26" t="str">
        <x:v>One current project plan</x:v>
      </x:c>
      <x:c r="C7" s="26" t="str">
        <x:v>GOV-01,GOV-02,GOV-03,GOV-04,GOV-06,OPEN-09</x:v>
      </x:c>
      <x:c r="D7" s="26" t="str">
        <x:v>One accepted tracker linked to SDD/STATE/NEXT; existing evidence mapped; one authorized item. No contradictory current status.</x:v>
      </x:c>
      <x:c r="E7" s="26" t="str">
        <x:v>Repository publication approved; exact artifact import, STATE/NEXT linkage and full row evidence mapping still pending.</x:v>
      </x:c>
      <x:c r="F7" s="26" t="str">
        <x:v>Not a new architecture review.</x:v>
      </x:c>
    </x:row>
    <x:row r="8" ht="108" customHeight="1">
      <x:c r="A8" s="26" t="str">
        <x:v>M1</x:v>
      </x:c>
      <x:c r="B8" s="26" t="str">
        <x:v>Stable controlled observation</x:v>
      </x:c>
      <x:c r="C8" s="26" t="str">
        <x:v>RUN-01,RUN-02,RUN-03,MON-01,MON-02,MON-03,ATT-02,DATA-12,LLM-02,WORK-01</x:v>
      </x:c>
      <x:c r="D8" s="26" t="str">
        <x:v>Approved instrumented FROZEN window completes on fixed code with correct startup/shutdown, unchanged safety boundaries and measured all-store growth.</x:v>
      </x:c>
      <x:c r="E8" s="26" t="str">
        <x:v>S16 BLOCKED: stop at 240.033s; first cycle completed during shutdown at 259.776s; zero complete window cycles; no steady-state or one-hour proof.</x:v>
      </x:c>
      <x:c r="F8" s="26" t="str">
        <x:v>Does not establish research, profitable edge or real-money readiness.</x:v>
      </x:c>
    </x:row>
    <x:row r="9" ht="108" customHeight="1">
      <x:c r="A9" s="26" t="str">
        <x:v>M2</x:v>
      </x:c>
      <x:c r="B9" s="26" t="str">
        <x:v>Supported autonomous research</x:v>
      </x:c>
      <x:c r="C9" s="26" t="str">
        <x:v>WRLD-03,WRLD-05,ATT-01,RES-01,RES-02,RES-05,RES-08,RES-09,QNT-08,OPEN-01,OPEN-02,OPEN-03</x:v>
      </x:c>
      <x:c r="D9" s="26" t="str">
        <x:v>Normal event→question→source→Bank→experiment/referee path is observed under approved data/resource/provider scope, including legitimate negative/inconclusive results.</x:v>
      </x:c>
      <x:c r="E9" s="26" t="str">
        <x:v>Build claims and selected reproductions exist; enabled worker workload and prospective result not established.</x:v>
      </x:c>
      <x:c r="F9" s="26" t="str">
        <x:v>No forced questions or silent gate enablement.</x:v>
      </x:c>
    </x:row>
    <x:row r="10" ht="108" customHeight="1">
      <x:c r="A10" s="26" t="str">
        <x:v>M3</x:v>
      </x:c>
      <x:c r="B10" s="26" t="str">
        <x:v>Governed strategy/portfolio/outcome loop</x:v>
      </x:c>
      <x:c r="C10" s="26" t="str">
        <x:v>STR-01,STR-02,STR-03,PORT-01,PORT-02,PORT-08,RISK-01,EXE-01,OUT-01,OUT-03,LRN-04</x:v>
      </x:c>
      <x:c r="D10" s="26" t="str">
        <x:v>An authorized supported path connects exact strategy/context/Portfolio/Risk/action/outcome and bounded later consumer, with correct refusal branches.</x:v>
      </x:c>
      <x:c r="E10" s="26" t="str">
        <x:v>Fixture/build evidence reported; real supported rule/economics/account evidence and observation remain partial.</x:v>
      </x:c>
      <x:c r="F10" s="26" t="str">
        <x:v>Test/demo evidence stays labelled; empty registries are policy/evidence blockers.</x:v>
      </x:c>
    </x:row>
    <x:row r="11" ht="108" customHeight="1">
      <x:c r="A11" s="26" t="str">
        <x:v>M4</x:v>
      </x:c>
      <x:c r="B11" s="26" t="str">
        <x:v>Owner-usable GUI</x:v>
      </x:c>
      <x:c r="C11" s="26" t="str">
        <x:v>GUI-01,GUI-02,GUI-03,GUI-04,GUI-05,GUI-06,GUI-07,GUI-08,GUI-09,GUX-01,GUX-11</x:v>
      </x:c>
      <x:c r="D11" s="26" t="str">
        <x:v>Nine screens have required functional/runtime evidence and exact owner visual approval; shared interaction/safety/performance checks pass.</x:v>
      </x:c>
      <x:c r="E11" s="26" t="str">
        <x:v>Stage8 broad historical tests reported; current per-screen map and owner approvals pending.</x:v>
      </x:c>
      <x:c r="F11" s="26" t="str">
        <x:v>Do not infer all GUI approval from an approved screenshot or API test.</x:v>
      </x:c>
    </x:row>
    <x:row r="12" ht="108" customHeight="1">
      <x:c r="A12" s="26" t="str">
        <x:v>M5</x:v>
      </x:c>
      <x:c r="B12" s="26" t="str">
        <x:v>Explicit real-money release</x:v>
      </x:c>
      <x:c r="C12" s="26" t="str">
        <x:v>REL-01,STR-03,RISK-03,EXE-05,EXE-06,SEC-01,OWN-02</x:v>
      </x:c>
      <x:c r="D12" s="26" t="str">
        <x:v>Owner-authorized exact versions satisfy actual account/venue/probation, cost/capacity, safety and release requirements.</x:v>
      </x:c>
      <x:c r="E12" s="26" t="str">
        <x:v>NOT_AUTHORIZED; current operation restricted to FROZEN demo observation.</x:v>
      </x:c>
      <x:c r="F12" s="26" t="str">
        <x:v>No automatic activation from any prior gate.</x:v>
      </x:c>
    </x:row>
    <x:row r="13" ht="108" customHeight="1">
      <x:c r="A13" s="26" t="str">
        <x:v>M6</x:v>
      </x:c>
      <x:c r="B13" s="26" t="str">
        <x:v>Economic usefulness and disciplined expansion</x:v>
      </x:c>
      <x:c r="C13" s="26" t="str">
        <x:v>GOV-10,ACC-03,REL-02,REL-03,REL-04</x:v>
      </x:c>
      <x:c r="D13" s="26" t="str">
        <x:v>Owner-defined evaluation establishes actual net economics, uncertainty and operating cost; expansion earns its complexity through approved evidence.</x:v>
      </x:c>
      <x:c r="E13" s="26" t="str">
        <x:v>Not established; no profitability guarantee or arbitrary quota.</x:v>
      </x:c>
      <x:c r="F13" s="26" t="str">
        <x:v>An honest negative result is evidence, not proof of profitable completion.</x:v>
      </x:c>
    </x:row>
  </x:sheetData>
  <x:mergeCells>
    <x:mergeCell ref="A1:F2"/>
    <x:mergeCell ref="A3:F4"/>
  </x:mergeCells>
  <x:pageMargins left="0.7" right="0.7" top="0.75" bottom="0.75" header="0.3" footer="0.3"/>
  <x:tableParts count="1">
    <x:tablePart xmlns:r="http://schemas.openxmlformats.org/officeDocument/2006/relationships" r:id="Re7e25449ebbe402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80" hidden="0" customWidth="1"/>
    <x:col min="4" max="4" width="37" hidden="0" customWidth="1"/>
    <x:col min="5" max="5" width="67" hidden="0" customWidth="1"/>
    <x:col min="6" max="6" width="60" hidden="0" customWidth="1"/>
  </x:cols>
  <x:sheetData>
    <x:row r="1" ht="24" customHeight="1">
      <x:c r="A1" s="4" t="str">
        <x:v>LUFFY | SDD SECTION MAP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3" customHeight="1">
      <x:c r="A3" s="11" t="str">
        <x:v>37 sections mapped at section level. This is NOT certified clause-by-clause completeness; conditional/examples remain conditional.</x:v>
      </x:c>
      <x:c r="B3" s="11"/>
      <x:c r="C3" s="11"/>
      <x:c r="D3" s="11"/>
      <x:c r="E3" s="11"/>
      <x:c r="F3" s="11"/>
    </x:row>
    <x:row r="4" ht="23" customHeight="1">
      <x:c r="A4" s="11"/>
      <x:c r="B4" s="11"/>
      <x:c r="C4" s="11"/>
      <x:c r="D4" s="11"/>
      <x:c r="E4" s="11"/>
      <x:c r="F4" s="11"/>
    </x:row>
    <x:row r="6" ht="32" customHeight="1">
      <x:c r="A6" s="19" t="str">
        <x:v>Section</x:v>
      </x:c>
      <x:c r="B6" s="19" t="str">
        <x:v>SDD heading</x:v>
      </x:c>
      <x:c r="C6" s="19" t="str">
        <x:v>Tracker IDs</x:v>
      </x:c>
      <x:c r="D6" s="19" t="str">
        <x:v>Mapping state</x:v>
      </x:c>
      <x:c r="E6" s="19" t="str">
        <x:v>Qualification</x:v>
      </x:c>
      <x:c r="F6" s="19" t="str">
        <x:v>Source</x:v>
      </x:c>
    </x:row>
    <x:row r="7" ht="108" customHeight="1">
      <x:c r="A7" s="26" t="n">
        <x:v>1</x:v>
      </x:c>
      <x:c r="B7" s="26" t="str">
        <x:v>Mission / end goal</x:v>
      </x:c>
      <x:c r="C7" s="26" t="str">
        <x:v>REL-04, GOV-10</x:v>
      </x:c>
      <x:c r="D7" s="26" t="str">
        <x:v>SECTION_MAPPED_DETAIL_NOT_CERTIFIED</x:v>
      </x:c>
      <x:c r="E7" s="26" t="str">
        <x:v>Section-level mapping only. Examples/conditional methods stay conditional; existing item evidence still needs mapping.</x:v>
      </x:c>
      <x:c r="F7" s="26" t="str">
        <x:v>https://github.com/sarmadkhan17/Luffy/blob/9385f792f32277bb0b826dba83247b8f5ccf1f8a/SDD.md</x:v>
      </x:c>
    </x:row>
    <x:row r="8" ht="108" customHeight="1">
      <x:c r="A8" s="26" t="n">
        <x:v>2</x:v>
      </x:c>
      <x:c r="B8" s="26" t="str">
        <x:v>Owner decisions</x:v>
      </x:c>
      <x:c r="C8" s="26" t="str">
        <x:v>GOV-08, GOV-09, RISK-04, STR-03, LLM-04, REL-01, REL-02</x:v>
      </x:c>
      <x:c r="D8" s="26" t="str">
        <x:v>SECTION_MAPPED_DETAIL_NOT_CERTIFIED</x:v>
      </x:c>
      <x:c r="E8" s="26" t="str">
        <x:v>Section-level mapping only. Examples/conditional methods stay conditional; existing item evidence still needs mapping.</x:v>
      </x:c>
      <x:c r="F8" s="26" t="str">
        <x:v>https://github.com/sarmadkhan17/Luffy/blob/9385f792f32277bb0b826dba83247b8f5ccf1f8a/SDD.md</x:v>
      </x:c>
    </x:row>
    <x:row r="9" ht="108" customHeight="1">
      <x:c r="A9" s="26" t="n">
        <x:v>3</x:v>
      </x:c>
      <x:c r="B9" s="26" t="str">
        <x:v>Simplicity / complexity</x:v>
      </x:c>
      <x:c r="C9" s="26" t="str">
        <x:v>GOV-08, RUN-06, RUN-07, DATA-11, REL-03</x:v>
      </x:c>
      <x:c r="D9" s="26" t="str">
        <x:v>SECTION_MAPPED_DETAIL_NOT_CERTIFIED</x:v>
      </x:c>
      <x:c r="E9" s="26" t="str">
        <x:v>Section-level mapping only. Examples/conditional methods stay conditional; existing item evidence still needs mapping.</x:v>
      </x:c>
      <x:c r="F9" s="26" t="str">
        <x:v>https://github.com/sarmadkhan17/Luffy/blob/9385f792f32277bb0b826dba83247b8f5ccf1f8a/SDD.md</x:v>
      </x:c>
    </x:row>
    <x:row r="10" ht="108" customHeight="1">
      <x:c r="A10" s="26" t="n">
        <x:v>4</x:v>
      </x:c>
      <x:c r="B10" s="26" t="str">
        <x:v>Architecture and authority map</x:v>
      </x:c>
      <x:c r="C10" s="26" t="str">
        <x:v>REL-04, WRLD-01, RISK-01, LLM-01</x:v>
      </x:c>
      <x:c r="D10" s="26" t="str">
        <x:v>SECTION_MAPPED_DETAIL_NOT_CERTIFIED</x:v>
      </x:c>
      <x:c r="E10" s="26" t="str">
        <x:v>Section-level mapping only. Examples/conditional methods stay conditional; existing item evidence still needs mapping.</x:v>
      </x:c>
      <x:c r="F10" s="26" t="str">
        <x:v>https://github.com/sarmadkhan17/Luffy/blob/9385f792f32277bb0b826dba83247b8f5ccf1f8a/SDD.md</x:v>
      </x:c>
    </x:row>
    <x:row r="11" ht="108" customHeight="1">
      <x:c r="A11" s="26" t="n">
        <x:v>5</x:v>
      </x:c>
      <x:c r="B11" s="26" t="str">
        <x:v>Runtime / infrastructure</x:v>
      </x:c>
      <x:c r="C11" s="26" t="str">
        <x:v>RUN-01, RUN-03, RUN-04, RUN-05, RUN-06, RUN-07</x:v>
      </x:c>
      <x:c r="D11" s="26" t="str">
        <x:v>SECTION_MAPPED_DETAIL_NOT_CERTIFIED</x:v>
      </x:c>
      <x:c r="E11" s="26" t="str">
        <x:v>Section-level mapping only. Examples/conditional methods stay conditional; existing item evidence still needs mapping.</x:v>
      </x:c>
      <x:c r="F11" s="26" t="str">
        <x:v>https://github.com/sarmadkhan17/Luffy/blob/9385f792f32277bb0b826dba83247b8f5ccf1f8a/SDD.md</x:v>
      </x:c>
    </x:row>
    <x:row r="12" ht="108" customHeight="1">
      <x:c r="A12" s="26" t="n">
        <x:v>6</x:v>
      </x:c>
      <x:c r="B12" s="26" t="str">
        <x:v>Core data architecture</x:v>
      </x:c>
      <x:c r="C12" s="26" t="str">
        <x:v>DATA-01, DATA-02, DATA-03, DATA-05, DATA-06, DATA-07, DATA-08, DATA-11, EXE-06</x:v>
      </x:c>
      <x:c r="D12" s="26" t="str">
        <x:v>SECTION_MAPPED_DETAIL_NOT_CERTIFIED</x:v>
      </x:c>
      <x:c r="E12" s="26" t="str">
        <x:v>Section-level mapping only. Examples/conditional methods stay conditional; existing item evidence still needs mapping.</x:v>
      </x:c>
      <x:c r="F12" s="26" t="str">
        <x:v>https://github.com/sarmadkhan17/Luffy/blob/9385f792f32277bb0b826dba83247b8f5ccf1f8a/SDD.md</x:v>
      </x:c>
    </x:row>
    <x:row r="13" ht="108" customHeight="1">
      <x:c r="A13" s="26" t="n">
        <x:v>7</x:v>
      </x:c>
      <x:c r="B13" s="26" t="str">
        <x:v>Market perception</x:v>
      </x:c>
      <x:c r="C13" s="26" t="str">
        <x:v>WRLD-01, WRLD-02, WRLD-07, DATA-04</x:v>
      </x:c>
      <x:c r="D13" s="26" t="str">
        <x:v>SECTION_MAPPED_DETAIL_NOT_CERTIFIED</x:v>
      </x:c>
      <x:c r="E13" s="26" t="str">
        <x:v>Section-level mapping only. Examples/conditional methods stay conditional; existing item evidence still needs mapping.</x:v>
      </x:c>
      <x:c r="F13" s="26" t="str">
        <x:v>https://github.com/sarmadkhan17/Luffy/blob/9385f792f32277bb0b826dba83247b8f5ccf1f8a/SDD.md</x:v>
      </x:c>
    </x:row>
    <x:row r="14" ht="108" customHeight="1">
      <x:c r="A14" s="26" t="n">
        <x:v>8</x:v>
      </x:c>
      <x:c r="B14" s="26" t="str">
        <x:v>Attention</x:v>
      </x:c>
      <x:c r="C14" s="26" t="str">
        <x:v>ATT-01, ATT-02, ATT-03, RES-09</x:v>
      </x:c>
      <x:c r="D14" s="26" t="str">
        <x:v>SECTION_MAPPED_DETAIL_NOT_CERTIFIED</x:v>
      </x:c>
      <x:c r="E14" s="26" t="str">
        <x:v>Section-level mapping only. Examples/conditional methods stay conditional; existing item evidence still needs mapping.</x:v>
      </x:c>
      <x:c r="F14" s="26" t="str">
        <x:v>https://github.com/sarmadkhan17/Luffy/blob/9385f792f32277bb0b826dba83247b8f5ccf1f8a/SDD.md</x:v>
      </x:c>
    </x:row>
    <x:row r="15" ht="108" customHeight="1">
      <x:c r="A15" s="26" t="n">
        <x:v>9</x:v>
      </x:c>
      <x:c r="B15" s="26" t="str">
        <x:v>Hierarchical WorldModel</x:v>
      </x:c>
      <x:c r="C15" s="26" t="str">
        <x:v>WRLD-03, WRLD-04, WRLD-05, WRLD-06, WRLD-07</x:v>
      </x:c>
      <x:c r="D15" s="26" t="str">
        <x:v>SECTION_MAPPED_DETAIL_NOT_CERTIFIED</x:v>
      </x:c>
      <x:c r="E15" s="26" t="str">
        <x:v>Section-level mapping only. Examples/conditional methods stay conditional; existing item evidence still needs mapping.</x:v>
      </x:c>
      <x:c r="F15" s="26" t="str">
        <x:v>https://github.com/sarmadkhan17/Luffy/blob/9385f792f32277bb0b826dba83247b8f5ccf1f8a/SDD.md</x:v>
      </x:c>
    </x:row>
    <x:row r="16" ht="108" customHeight="1">
      <x:c r="A16" s="26" t="n">
        <x:v>10</x:v>
      </x:c>
      <x:c r="B16" s="26" t="str">
        <x:v>Hypotheses</x:v>
      </x:c>
      <x:c r="C16" s="26" t="str">
        <x:v>RES-07, RES-08</x:v>
      </x:c>
      <x:c r="D16" s="26" t="str">
        <x:v>SECTION_MAPPED_DETAIL_NOT_CERTIFIED</x:v>
      </x:c>
      <x:c r="E16" s="26" t="str">
        <x:v>Section-level mapping only. Examples/conditional methods stay conditional; existing item evidence still needs mapping.</x:v>
      </x:c>
      <x:c r="F16" s="26" t="str">
        <x:v>https://github.com/sarmadkhan17/Luffy/blob/9385f792f32277bb0b826dba83247b8f5ccf1f8a/SDD.md</x:v>
      </x:c>
    </x:row>
    <x:row r="17" ht="108" customHeight="1">
      <x:c r="A17" s="26" t="n">
        <x:v>11</x:v>
      </x:c>
      <x:c r="B17" s="26" t="str">
        <x:v>Critic / falsification</x:v>
      </x:c>
      <x:c r="C17" s="26" t="str">
        <x:v>QNT-02, QNT-03, QNT-04, QNT-05, QNT-06, QNT-07</x:v>
      </x:c>
      <x:c r="D17" s="26" t="str">
        <x:v>SECTION_MAPPED_DETAIL_NOT_CERTIFIED</x:v>
      </x:c>
      <x:c r="E17" s="26" t="str">
        <x:v>Section-level mapping only. Examples/conditional methods stay conditional; existing item evidence still needs mapping.</x:v>
      </x:c>
      <x:c r="F17" s="26" t="str">
        <x:v>https://github.com/sarmadkhan17/Luffy/blob/9385f792f32277bb0b826dba83247b8f5ccf1f8a/SDD.md</x:v>
      </x:c>
    </x:row>
    <x:row r="18" ht="108" customHeight="1">
      <x:c r="A18" s="26" t="n">
        <x:v>12</x:v>
      </x:c>
      <x:c r="B18" s="26" t="str">
        <x:v>Autonomous research</x:v>
      </x:c>
      <x:c r="C18" s="26" t="str">
        <x:v>RES-01, RES-02, RES-03, RES-04, RES-05, RES-06, RES-09</x:v>
      </x:c>
      <x:c r="D18" s="26" t="str">
        <x:v>SECTION_MAPPED_DETAIL_NOT_CERTIFIED</x:v>
      </x:c>
      <x:c r="E18" s="26" t="str">
        <x:v>Section-level mapping only. Examples/conditional methods stay conditional; existing item evidence still needs mapping.</x:v>
      </x:c>
      <x:c r="F18" s="26" t="str">
        <x:v>https://github.com/sarmadkhan17/Luffy/blob/9385f792f32277bb0b826dba83247b8f5ccf1f8a/SDD.md</x:v>
      </x:c>
    </x:row>
    <x:row r="19" ht="108" customHeight="1">
      <x:c r="A19" s="26" t="n">
        <x:v>13</x:v>
      </x:c>
      <x:c r="B19" s="26" t="str">
        <x:v>Quant framework</x:v>
      </x:c>
      <x:c r="C19" s="26" t="str">
        <x:v>QNT-01, QNT-02, QNT-03, QNT-04, QNT-05, QNT-06, QNT-07</x:v>
      </x:c>
      <x:c r="D19" s="26" t="str">
        <x:v>SECTION_MAPPED_DETAIL_NOT_CERTIFIED</x:v>
      </x:c>
      <x:c r="E19" s="26" t="str">
        <x:v>Section-level mapping only. Examples/conditional methods stay conditional; existing item evidence still needs mapping.</x:v>
      </x:c>
      <x:c r="F19" s="26" t="str">
        <x:v>https://github.com/sarmadkhan17/Luffy/blob/9385f792f32277bb0b826dba83247b8f5ccf1f8a/SDD.md</x:v>
      </x:c>
    </x:row>
    <x:row r="20" ht="108" customHeight="1">
      <x:c r="A20" s="26" t="n">
        <x:v>14</x:v>
      </x:c>
      <x:c r="B20" s="26" t="str">
        <x:v>Strategy architecture</x:v>
      </x:c>
      <x:c r="C20" s="26" t="str">
        <x:v>STR-01, STR-02, STR-03, STR-04, STR-05, DEC-03</x:v>
      </x:c>
      <x:c r="D20" s="26" t="str">
        <x:v>SECTION_MAPPED_DETAIL_NOT_CERTIFIED</x:v>
      </x:c>
      <x:c r="E20" s="26" t="str">
        <x:v>Section-level mapping only. Examples/conditional methods stay conditional; existing item evidence still needs mapping.</x:v>
      </x:c>
      <x:c r="F20" s="26" t="str">
        <x:v>https://github.com/sarmadkhan17/Luffy/blob/9385f792f32277bb0b826dba83247b8f5ccf1f8a/SDD.md</x:v>
      </x:c>
    </x:row>
    <x:row r="21" ht="108" customHeight="1">
      <x:c r="A21" s="26" t="n">
        <x:v>15</x:v>
      </x:c>
      <x:c r="B21" s="26" t="str">
        <x:v>Opportunity / decision</x:v>
      </x:c>
      <x:c r="C21" s="26" t="str">
        <x:v>DEC-01, DEC-02, DEC-03, DEC-04, PORT-02, PORT-03, WRLD-01</x:v>
      </x:c>
      <x:c r="D21" s="26" t="str">
        <x:v>SECTION_MAPPED_DETAIL_NOT_CERTIFIED</x:v>
      </x:c>
      <x:c r="E21" s="26" t="str">
        <x:v>Section-level mapping only. Examples/conditional methods stay conditional; existing item evidence still needs mapping.</x:v>
      </x:c>
      <x:c r="F21" s="26" t="str">
        <x:v>https://github.com/sarmadkhan17/Luffy/blob/9385f792f32277bb0b826dba83247b8f5ccf1f8a/SDD.md</x:v>
      </x:c>
    </x:row>
    <x:row r="22" ht="108" customHeight="1">
      <x:c r="A22" s="26" t="n">
        <x:v>16</x:v>
      </x:c>
      <x:c r="B22" s="26" t="str">
        <x:v>Global Portfolio</x:v>
      </x:c>
      <x:c r="C22" s="26" t="str">
        <x:v>PORT-01, PORT-02, PORT-03, PORT-04, PORT-05, PORT-06, PORT-07, PORT-08</x:v>
      </x:c>
      <x:c r="D22" s="26" t="str">
        <x:v>SECTION_MAPPED_DETAIL_NOT_CERTIFIED</x:v>
      </x:c>
      <x:c r="E22" s="26" t="str">
        <x:v>Section-level mapping only. Examples/conditional methods stay conditional; existing item evidence still needs mapping.</x:v>
      </x:c>
      <x:c r="F22" s="26" t="str">
        <x:v>https://github.com/sarmadkhan17/Luffy/blob/9385f792f32277bb0b826dba83247b8f5ccf1f8a/SDD.md</x:v>
      </x:c>
    </x:row>
    <x:row r="23" ht="108" customHeight="1">
      <x:c r="A23" s="26" t="n">
        <x:v>17</x:v>
      </x:c>
      <x:c r="B23" s="26" t="str">
        <x:v>Deterministic Risk</x:v>
      </x:c>
      <x:c r="C23" s="26" t="str">
        <x:v>RISK-01, RISK-02, RISK-03, RISK-04</x:v>
      </x:c>
      <x:c r="D23" s="26" t="str">
        <x:v>SECTION_MAPPED_DETAIL_NOT_CERTIFIED</x:v>
      </x:c>
      <x:c r="E23" s="26" t="str">
        <x:v>Section-level mapping only. Examples/conditional methods stay conditional; existing item evidence still needs mapping.</x:v>
      </x:c>
      <x:c r="F23" s="26" t="str">
        <x:v>https://github.com/sarmadkhan17/Luffy/blob/9385f792f32277bb0b826dba83247b8f5ccf1f8a/SDD.md</x:v>
      </x:c>
    </x:row>
    <x:row r="24" ht="108" customHeight="1">
      <x:c r="A24" s="26" t="n">
        <x:v>18</x:v>
      </x:c>
      <x:c r="B24" s="26" t="str">
        <x:v>Execution / accounting</x:v>
      </x:c>
      <x:c r="C24" s="26" t="str">
        <x:v>EXE-01, EXE-02, EXE-03, EXE-04, EXE-05, EXE-06, EXE-07, ACC-01, ACC-02, ACC-03</x:v>
      </x:c>
      <x:c r="D24" s="26" t="str">
        <x:v>SECTION_MAPPED_DETAIL_NOT_CERTIFIED</x:v>
      </x:c>
      <x:c r="E24" s="26" t="str">
        <x:v>Section-level mapping only. Examples/conditional methods stay conditional; existing item evidence still needs mapping.</x:v>
      </x:c>
      <x:c r="F24" s="26" t="str">
        <x:v>https://github.com/sarmadkhan17/Luffy/blob/9385f792f32277bb0b826dba83247b8f5ccf1f8a/SDD.md</x:v>
      </x:c>
    </x:row>
    <x:row r="25" ht="108" customHeight="1">
      <x:c r="A25" s="26" t="n">
        <x:v>19</x:v>
      </x:c>
      <x:c r="B25" s="26" t="str">
        <x:v>Outcomes / attribution / replay</x:v>
      </x:c>
      <x:c r="C25" s="26" t="str">
        <x:v>OUT-01, OUT-02, OUT-03, OUT-04</x:v>
      </x:c>
      <x:c r="D25" s="26" t="str">
        <x:v>SECTION_MAPPED_DETAIL_NOT_CERTIFIED</x:v>
      </x:c>
      <x:c r="E25" s="26" t="str">
        <x:v>Section-level mapping only. Examples/conditional methods stay conditional; existing item evidence still needs mapping.</x:v>
      </x:c>
      <x:c r="F25" s="26" t="str">
        <x:v>https://github.com/sarmadkhan17/Luffy/blob/9385f792f32277bb0b826dba83247b8f5ccf1f8a/SDD.md</x:v>
      </x:c>
    </x:row>
    <x:row r="26" ht="108" customHeight="1">
      <x:c r="A26" s="26" t="n">
        <x:v>20</x:v>
      </x:c>
      <x:c r="B26" s="26" t="str">
        <x:v>Memory</x:v>
      </x:c>
      <x:c r="C26" s="26" t="str">
        <x:v>MEM-01, MEM-02, RES-06, DATA-09</x:v>
      </x:c>
      <x:c r="D26" s="26" t="str">
        <x:v>SECTION_MAPPED_DETAIL_NOT_CERTIFIED</x:v>
      </x:c>
      <x:c r="E26" s="26" t="str">
        <x:v>Section-level mapping only. Examples/conditional methods stay conditional; existing item evidence still needs mapping.</x:v>
      </x:c>
      <x:c r="F26" s="26" t="str">
        <x:v>https://github.com/sarmadkhan17/Luffy/blob/9385f792f32277bb0b826dba83247b8f5ccf1f8a/SDD.md</x:v>
      </x:c>
    </x:row>
    <x:row r="27" ht="108" customHeight="1">
      <x:c r="A27" s="26" t="n">
        <x:v>21</x:v>
      </x:c>
      <x:c r="B27" s="26" t="str">
        <x:v>Learning</x:v>
      </x:c>
      <x:c r="C27" s="26" t="str">
        <x:v>LRN-01, LRN-02, LRN-03, LRN-04, LRN-05, LRN-06, WRLD-06</x:v>
      </x:c>
      <x:c r="D27" s="26" t="str">
        <x:v>SECTION_MAPPED_DETAIL_NOT_CERTIFIED</x:v>
      </x:c>
      <x:c r="E27" s="26" t="str">
        <x:v>Section-level mapping only. Examples/conditional methods stay conditional; existing item evidence still needs mapping.</x:v>
      </x:c>
      <x:c r="F27" s="26" t="str">
        <x:v>https://github.com/sarmadkhan17/Luffy/blob/9385f792f32277bb0b826dba83247b8f5ccf1f8a/SDD.md</x:v>
      </x:c>
    </x:row>
    <x:row r="28" ht="108" customHeight="1">
      <x:c r="A28" s="26" t="n">
        <x:v>22</x:v>
      </x:c>
      <x:c r="B28" s="26" t="str">
        <x:v>LLM architecture</x:v>
      </x:c>
      <x:c r="C28" s="26" t="str">
        <x:v>LLM-01, LLM-02, LLM-03, LLM-04</x:v>
      </x:c>
      <x:c r="D28" s="26" t="str">
        <x:v>SECTION_MAPPED_DETAIL_NOT_CERTIFIED</x:v>
      </x:c>
      <x:c r="E28" s="26" t="str">
        <x:v>Section-level mapping only. Examples/conditional methods stay conditional; existing item evidence still needs mapping.</x:v>
      </x:c>
      <x:c r="F28" s="26" t="str">
        <x:v>https://github.com/sarmadkhan17/Luffy/blob/9385f792f32277bb0b826dba83247b8f5ccf1f8a/SDD.md</x:v>
      </x:c>
    </x:row>
    <x:row r="29" ht="108" customHeight="1">
      <x:c r="A29" s="26" t="n">
        <x:v>23</x:v>
      </x:c>
      <x:c r="B29" s="26" t="str">
        <x:v>External systems / tools</x:v>
      </x:c>
      <x:c r="C29" s="26" t="str">
        <x:v>RES-03, RUN-07, SEC-01, SEC-02, REL-02</x:v>
      </x:c>
      <x:c r="D29" s="26" t="str">
        <x:v>SECTION_MAPPED_DETAIL_NOT_CERTIFIED</x:v>
      </x:c>
      <x:c r="E29" s="26" t="str">
        <x:v>Section-level mapping only. Examples/conditional methods stay conditional; existing item evidence still needs mapping.</x:v>
      </x:c>
      <x:c r="F29" s="26" t="str">
        <x:v>https://github.com/sarmadkhan17/Luffy/blob/9385f792f32277bb0b826dba83247b8f5ccf1f8a/SDD.md</x:v>
      </x:c>
    </x:row>
    <x:row r="30" ht="108" customHeight="1">
      <x:c r="A30" s="26" t="n">
        <x:v>24</x:v>
      </x:c>
      <x:c r="B30" s="26" t="str">
        <x:v>Monitoring / Supervisor</x:v>
      </x:c>
      <x:c r="C30" s="26" t="str">
        <x:v>MON-01, MON-02, MON-03, MON-04, MON-05, MON-06, EXE-06</x:v>
      </x:c>
      <x:c r="D30" s="26" t="str">
        <x:v>SECTION_MAPPED_DETAIL_NOT_CERTIFIED</x:v>
      </x:c>
      <x:c r="E30" s="26" t="str">
        <x:v>Section-level mapping only. Examples/conditional methods stay conditional; existing item evidence still needs mapping.</x:v>
      </x:c>
      <x:c r="F30" s="26" t="str">
        <x:v>https://github.com/sarmadkhan17/Luffy/blob/9385f792f32277bb0b826dba83247b8f5ccf1f8a/SDD.md</x:v>
      </x:c>
    </x:row>
    <x:row r="31" ht="108" customHeight="1">
      <x:c r="A31" s="26" t="n">
        <x:v>25</x:v>
      </x:c>
      <x:c r="B31" s="26" t="str">
        <x:v>Dashboard / Owner OS</x:v>
      </x:c>
      <x:c r="C31" s="26" t="str">
        <x:v>OWN-01, OWN-02, OWN-03, OWN-04, GUI-01, VIS-01, GUI-02, VIS-02, GUI-03, VIS-03, GUI-04, VIS-04, GUI-05, VIS-05, GUI-06, VIS-06, GUI-07, VIS-07, GUI-08, VIS-08, GUI-09, VIS-09, GUX-01, GUX-02, GUX-03, GUX-04, GUX-05, GUX-06, GUX-07, GUX-08, GUX-09, GUX-10, GUX-11</x:v>
      </x:c>
      <x:c r="D31" s="26" t="str">
        <x:v>SECTION_MAPPED_DETAIL_NOT_CERTIFIED</x:v>
      </x:c>
      <x:c r="E31" s="26" t="str">
        <x:v>Section-level mapping only. Examples/conditional methods stay conditional; existing item evidence still needs mapping.</x:v>
      </x:c>
      <x:c r="F31" s="26" t="str">
        <x:v>https://github.com/sarmadkhan17/Luffy/blob/9385f792f32277bb0b826dba83247b8f5ccf1f8a/SDD.md</x:v>
      </x:c>
    </x:row>
    <x:row r="32" ht="108" customHeight="1">
      <x:c r="A32" s="26" t="n">
        <x:v>26</x:v>
      </x:c>
      <x:c r="B32" s="26" t="str">
        <x:v>Security</x:v>
      </x:c>
      <x:c r="C32" s="26" t="str">
        <x:v>SEC-01, SEC-02, SEC-03, SEC-04, GUX-10</x:v>
      </x:c>
      <x:c r="D32" s="26" t="str">
        <x:v>SECTION_MAPPED_DETAIL_NOT_CERTIFIED</x:v>
      </x:c>
      <x:c r="E32" s="26" t="str">
        <x:v>Section-level mapping only. Examples/conditional methods stay conditional; existing item evidence still needs mapping.</x:v>
      </x:c>
      <x:c r="F32" s="26" t="str">
        <x:v>https://github.com/sarmadkhan17/Luffy/blob/9385f792f32277bb0b826dba83247b8f5ccf1f8a/SDD.md</x:v>
      </x:c>
    </x:row>
    <x:row r="33" ht="108" customHeight="1">
      <x:c r="A33" s="26" t="n">
        <x:v>27</x:v>
      </x:c>
      <x:c r="B33" s="26" t="str">
        <x:v>Backup / recovery</x:v>
      </x:c>
      <x:c r="C33" s="26" t="str">
        <x:v>BKP-01, BKP-02, BKP-03, EXE-06, GOV-07</x:v>
      </x:c>
      <x:c r="D33" s="26" t="str">
        <x:v>SECTION_MAPPED_DETAIL_NOT_CERTIFIED</x:v>
      </x:c>
      <x:c r="E33" s="26" t="str">
        <x:v>Section-level mapping only. Examples/conditional methods stay conditional; existing item evidence still needs mapping.</x:v>
      </x:c>
      <x:c r="F33" s="26" t="str">
        <x:v>https://github.com/sarmadkhan17/Luffy/blob/9385f792f32277bb0b826dba83247b8f5ccf1f8a/SDD.md</x:v>
      </x:c>
    </x:row>
    <x:row r="34" ht="108" customHeight="1">
      <x:c r="A34" s="26" t="n">
        <x:v>28</x:v>
      </x:c>
      <x:c r="B34" s="26" t="str">
        <x:v>Tests / validation</x:v>
      </x:c>
      <x:c r="C34" s="26" t="str">
        <x:v>GOV-04, GOV-05, GOV-06, OUT-03, RISK-01, EXE-01, MON-02, QNT-08</x:v>
      </x:c>
      <x:c r="D34" s="26" t="str">
        <x:v>SECTION_MAPPED_DETAIL_NOT_CERTIFIED</x:v>
      </x:c>
      <x:c r="E34" s="26" t="str">
        <x:v>Section-level mapping only. Examples/conditional methods stay conditional; existing item evidence still needs mapping.</x:v>
      </x:c>
      <x:c r="F34" s="26" t="str">
        <x:v>https://github.com/sarmadkhan17/Luffy/blob/9385f792f32277bb0b826dba83247b8f5ccf1f8a/SDD.md</x:v>
      </x:c>
    </x:row>
    <x:row r="35" ht="108" customHeight="1">
      <x:c r="A35" s="26" t="n">
        <x:v>29</x:v>
      </x:c>
      <x:c r="B35" s="26" t="str">
        <x:v>Capability maturity</x:v>
      </x:c>
      <x:c r="C35" s="26" t="str">
        <x:v>GOV-04, GUX-11</x:v>
      </x:c>
      <x:c r="D35" s="26" t="str">
        <x:v>SECTION_MAPPED_DETAIL_NOT_CERTIFIED</x:v>
      </x:c>
      <x:c r="E35" s="26" t="str">
        <x:v>Section-level mapping only. Examples/conditional methods stay conditional; existing item evidence still needs mapping.</x:v>
      </x:c>
      <x:c r="F35" s="26" t="str">
        <x:v>https://github.com/sarmadkhan17/Luffy/blob/9385f792f32277bb0b826dba83247b8f5ccf1f8a/SDD.md</x:v>
      </x:c>
    </x:row>
    <x:row r="36" ht="108" customHeight="1">
      <x:c r="A36" s="26" t="n">
        <x:v>30</x:v>
      </x:c>
      <x:c r="B36" s="26" t="str">
        <x:v>Delivery stages</x:v>
      </x:c>
      <x:c r="C36" s="26" t="str">
        <x:v>GOV-01, GOV-03, REL-04, REL-02, REL-03</x:v>
      </x:c>
      <x:c r="D36" s="26" t="str">
        <x:v>SECTION_MAPPED_DETAIL_NOT_CERTIFIED</x:v>
      </x:c>
      <x:c r="E36" s="26" t="str">
        <x:v>Section-level mapping only. Examples/conditional methods stay conditional; existing item evidence still needs mapping.</x:v>
      </x:c>
      <x:c r="F36" s="26" t="str">
        <x:v>https://github.com/sarmadkhan17/Luffy/blob/9385f792f32277bb0b826dba83247b8f5ccf1f8a/SDD.md</x:v>
      </x:c>
    </x:row>
    <x:row r="37" ht="108" customHeight="1">
      <x:c r="A37" s="26" t="n">
        <x:v>31</x:v>
      </x:c>
      <x:c r="B37" s="26" t="str">
        <x:v>Engineering operating loop</x:v>
      </x:c>
      <x:c r="C37" s="26" t="str">
        <x:v>GOV-02, GOV-03, GOV-05, GOV-06</x:v>
      </x:c>
      <x:c r="D37" s="26" t="str">
        <x:v>SECTION_MAPPED_DETAIL_NOT_CERTIFIED</x:v>
      </x:c>
      <x:c r="E37" s="26" t="str">
        <x:v>Section-level mapping only. Examples/conditional methods stay conditional; existing item evidence still needs mapping.</x:v>
      </x:c>
      <x:c r="F37" s="26" t="str">
        <x:v>https://github.com/sarmadkhan17/Luffy/blob/9385f792f32277bb0b826dba83247b8f5ccf1f8a/SDD.md</x:v>
      </x:c>
    </x:row>
    <x:row r="38" ht="108" customHeight="1">
      <x:c r="A38" s="26" t="n">
        <x:v>32</x:v>
      </x:c>
      <x:c r="B38" s="26" t="str">
        <x:v>Three-file control plane</x:v>
      </x:c>
      <x:c r="C38" s="26" t="str">
        <x:v>GOV-01, GOV-07, OPEN-09</x:v>
      </x:c>
      <x:c r="D38" s="26" t="str">
        <x:v>SECTION_MAPPED_DETAIL_NOT_CERTIFIED</x:v>
      </x:c>
      <x:c r="E38" s="26" t="str">
        <x:v>Section-level mapping only. Examples/conditional methods stay conditional; existing item evidence still needs mapping.</x:v>
      </x:c>
      <x:c r="F38" s="26" t="str">
        <x:v>https://github.com/sarmadkhan17/Luffy/blob/9385f792f32277bb0b826dba83247b8f5ccf1f8a/SDD.md</x:v>
      </x:c>
    </x:row>
    <x:row r="39" ht="108" customHeight="1">
      <x:c r="A39" s="26" t="n">
        <x:v>33</x:v>
      </x:c>
      <x:c r="B39" s="26" t="str">
        <x:v>Acceptance gates</x:v>
      </x:c>
      <x:c r="C39" s="26" t="str">
        <x:v>REL-04, ATT-01, RES-01, WRLD-03, QNT-08, STR-03, PORT-01, RISK-01, LRN-06, OWN-01</x:v>
      </x:c>
      <x:c r="D39" s="26" t="str">
        <x:v>SECTION_MAPPED_DETAIL_NOT_CERTIFIED</x:v>
      </x:c>
      <x:c r="E39" s="26" t="str">
        <x:v>Section-level mapping only. Examples/conditional methods stay conditional; existing item evidence still needs mapping.</x:v>
      </x:c>
      <x:c r="F39" s="26" t="str">
        <x:v>https://github.com/sarmadkhan17/Luffy/blob/9385f792f32277bb0b826dba83247b8f5ccf1f8a/SDD.md</x:v>
      </x:c>
    </x:row>
    <x:row r="40" ht="108" customHeight="1">
      <x:c r="A40" s="26" t="n">
        <x:v>34</x:v>
      </x:c>
      <x:c r="B40" s="26" t="str">
        <x:v>Repository vs target</x:v>
      </x:c>
      <x:c r="C40" s="26" t="str">
        <x:v>GOV-01, GOV-04, GOV-07</x:v>
      </x:c>
      <x:c r="D40" s="26" t="str">
        <x:v>SECTION_MAPPED_DETAIL_NOT_CERTIFIED</x:v>
      </x:c>
      <x:c r="E40" s="26" t="str">
        <x:v>Section-level mapping only. Examples/conditional methods stay conditional; existing item evidence still needs mapping.</x:v>
      </x:c>
      <x:c r="F40" s="26" t="str">
        <x:v>https://github.com/sarmadkhan17/Luffy/blob/9385f792f32277bb0b826dba83247b8f5ccf1f8a/SDD.md</x:v>
      </x:c>
    </x:row>
    <x:row r="41" ht="108" customHeight="1">
      <x:c r="A41" s="26" t="n">
        <x:v>35</x:v>
      </x:c>
      <x:c r="B41" s="26" t="str">
        <x:v>Component contracts</x:v>
      </x:c>
      <x:c r="C41" s="26" t="str">
        <x:v>WRLD-01, DEC-02, PORT-01, RISK-01, EXE-01, EXE-04, ACC-01, MON-01, RES-08, STR-04, LRN-03, OWN-02</x:v>
      </x:c>
      <x:c r="D41" s="26" t="str">
        <x:v>SECTION_MAPPED_DETAIL_NOT_CERTIFIED</x:v>
      </x:c>
      <x:c r="E41" s="26" t="str">
        <x:v>Section-level mapping only. Examples/conditional methods stay conditional; existing item evidence still needs mapping.</x:v>
      </x:c>
      <x:c r="F41" s="26" t="str">
        <x:v>https://github.com/sarmadkhan17/Luffy/blob/9385f792f32277bb0b826dba83247b8f5ccf1f8a/SDD.md</x:v>
      </x:c>
    </x:row>
    <x:row r="42" ht="108" customHeight="1">
      <x:c r="A42" s="26" t="n">
        <x:v>36</x:v>
      </x:c>
      <x:c r="B42" s="26" t="str">
        <x:v>Completion behaviours</x:v>
      </x:c>
      <x:c r="C42" s="26" t="str">
        <x:v>REL-04, GOV-10, RES-01, STR-03, PORT-01, LRN-06, OWN-01</x:v>
      </x:c>
      <x:c r="D42" s="26" t="str">
        <x:v>SECTION_MAPPED_DETAIL_NOT_CERTIFIED</x:v>
      </x:c>
      <x:c r="E42" s="26" t="str">
        <x:v>Section-level mapping only. Examples/conditional methods stay conditional; existing item evidence still needs mapping.</x:v>
      </x:c>
      <x:c r="F42" s="26" t="str">
        <x:v>https://github.com/sarmadkhan17/Luffy/blob/9385f792f32277bb0b826dba83247b8f5ccf1f8a/SDD.md</x:v>
      </x:c>
    </x:row>
    <x:row r="43" ht="108" customHeight="1">
      <x:c r="A43" s="26" t="n">
        <x:v>37</x:v>
      </x:c>
      <x:c r="B43" s="26" t="str">
        <x:v>Authority / revision</x:v>
      </x:c>
      <x:c r="C43" s="26" t="str">
        <x:v>GOV-01, GOV-08, GOV-09, OPEN-09</x:v>
      </x:c>
      <x:c r="D43" s="26" t="str">
        <x:v>SECTION_MAPPED_DETAIL_NOT_CERTIFIED</x:v>
      </x:c>
      <x:c r="E43" s="26" t="str">
        <x:v>Section-level mapping only. Examples/conditional methods stay conditional; existing item evidence still needs mapping.</x:v>
      </x:c>
      <x:c r="F43" s="26" t="str">
        <x:v>https://github.com/sarmadkhan17/Luffy/blob/9385f792f32277bb0b826dba83247b8f5ccf1f8a/SDD.md</x:v>
      </x:c>
    </x:row>
  </x:sheetData>
  <x:mergeCells>
    <x:mergeCell ref="A1:F2"/>
    <x:mergeCell ref="A3:F4"/>
  </x:mergeCells>
  <x:pageMargins left="0.7" right="0.7" top="0.75" bottom="0.75" header="0.3" footer="0.3"/>
  <x:tableParts count="1">
    <x:tablePart xmlns:r="http://schemas.openxmlformats.org/officeDocument/2006/relationships" r:id="R72f3c6c58e40490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3" hidden="0" customWidth="1"/>
    <x:col min="3" max="3" width="28" hidden="0" customWidth="1"/>
    <x:col min="4" max="4" width="59" hidden="0" customWidth="1"/>
    <x:col min="5" max="5" width="82" hidden="0" customWidth="1"/>
    <x:col min="6" max="6" width="62" hidden="0" customWidth="1"/>
    <x:col min="7" max="7" width="72" hidden="0" customWidth="1"/>
  </x:cols>
  <x:sheetData>
    <x:row r="1" ht="24" customHeight="1">
      <x:c r="A1" s="4" t="str">
        <x:v>LUFFY | SOURCES &amp; PROOF QUALIFICATIONS</x:v>
      </x:c>
      <x:c r="B1" s="4"/>
      <x:c r="C1" s="4"/>
      <x:c r="D1" s="4"/>
      <x:c r="E1" s="4"/>
      <x:c r="F1" s="4"/>
      <x:c r="G1" s="4"/>
    </x:row>
    <x:row r="2" ht="24" customHeight="1">
      <x:c r="A2" s="4"/>
      <x:c r="B2" s="4"/>
      <x:c r="C2" s="4"/>
      <x:c r="D2" s="4"/>
      <x:c r="E2" s="4"/>
      <x:c r="F2" s="4"/>
      <x:c r="G2" s="4"/>
    </x:row>
    <x:row r="3" ht="23" customHeight="1">
      <x:c r="A3" s="11" t="str">
        <x:v>Pinned repository sources and user-provided reports. No fresh runtime, venue check or independent test campaign was performed for this draft.</x:v>
      </x:c>
      <x:c r="B3" s="11"/>
      <x:c r="C3" s="11"/>
      <x:c r="D3" s="11"/>
      <x:c r="E3" s="11"/>
      <x:c r="F3" s="11"/>
      <x:c r="G3" s="11"/>
    </x:row>
    <x:row r="4" ht="23" customHeight="1">
      <x:c r="A4" s="11"/>
      <x:c r="B4" s="11"/>
      <x:c r="C4" s="11"/>
      <x:c r="D4" s="11"/>
      <x:c r="E4" s="11"/>
      <x:c r="F4" s="11"/>
      <x:c r="G4" s="11"/>
    </x:row>
    <x:row r="6" ht="32" customHeight="1">
      <x:c r="A6" s="19" t="str">
        <x:v>Source ID</x:v>
      </x:c>
      <x:c r="B6" s="19" t="str">
        <x:v>Title</x:v>
      </x:c>
      <x:c r="C6" s="19" t="str">
        <x:v>Kind</x:v>
      </x:c>
      <x:c r="D6" s="19" t="str">
        <x:v>Code / evidence identity</x:v>
      </x:c>
      <x:c r="E6" s="19" t="str">
        <x:v>Location</x:v>
      </x:c>
      <x:c r="F6" s="19" t="str">
        <x:v>Supported scope</x:v>
      </x:c>
      <x:c r="G6" s="19" t="str">
        <x:v>Qualification</x:v>
      </x:c>
    </x:row>
    <x:row r="7" ht="108" customHeight="1">
      <x:c r="A7" s="26" t="str">
        <x:v>S01</x:v>
      </x:c>
      <x:c r="B7" s="26" t="str">
        <x:v>SDD v3.2 — target architecture</x:v>
      </x:c>
      <x:c r="C7" s="26" t="str">
        <x:v>Repository authority</x:v>
      </x:c>
      <x:c r="D7" s="26" t="str">
        <x:v>9385f792f32277bb0b826dba83247b8f5ccf1f8a</x:v>
      </x:c>
      <x:c r="E7" s="26" t="str">
        <x:v>https://github.com/sarmadkhan17/Luffy/blob/9385f792f32277bb0b826dba83247b8f5ccf1f8a/SDD.md</x:v>
      </x:c>
      <x:c r="F7" s="26" t="str">
        <x:v>Sections 1–37; includes target behaviours, GUI, conditional capabilities and acceptance gates.</x:v>
      </x:c>
      <x:c r="G7" s="26" t="str">
        <x:v>Target requirements, not proof of implementation. Candidate/example techniques are not converted into mandatory implementations.</x:v>
      </x:c>
    </x:row>
    <x:row r="8" ht="108" customHeight="1">
      <x:c r="A8" s="26" t="str">
        <x:v>S02</x:v>
      </x:c>
      <x:c r="B8" s="26" t="str">
        <x:v>Reconciled STATE.yaml</x:v>
      </x:c>
      <x:c r="C8" s="26" t="str">
        <x:v>Repository state</x:v>
      </x:c>
      <x:c r="D8" s="26" t="str">
        <x:v>9385f792f32277bb0b826dba83247b8f5ccf1f8a</x:v>
      </x:c>
      <x:c r="E8" s="26" t="str">
        <x:v>https://github.com/sarmadkhan17/Luffy/blob/9385f792f32277bb0b826dba83247b8f5ccf1f8a/STATE.yaml</x:v>
      </x:c>
      <x:c r="F8" s="26" t="str">
        <x:v>Historical build claims and current_runtime_status.</x:v>
      </x:c>
      <x:c r="G8" s="26" t="str">
        <x:v>Preserve review scopes. Historical PASS is not proof of current runtime operation.</x:v>
      </x:c>
    </x:row>
    <x:row r="9" ht="108" customHeight="1">
      <x:c r="A9" s="26" t="str">
        <x:v>S03</x:v>
      </x:c>
      <x:c r="B9" s="26" t="str">
        <x:v>Reconciled NEXT.yaml</x:v>
      </x:c>
      <x:c r="C9" s="26" t="str">
        <x:v>Active package record</x:v>
      </x:c>
      <x:c r="D9" s="26" t="str">
        <x:v>9385f792f32277bb0b826dba83247b8f5ccf1f8a</x:v>
      </x:c>
      <x:c r="E9" s="26" t="str">
        <x:v>https://github.com/sarmadkhan17/Luffy/blob/9385f792f32277bb0b826dba83247b8f5ccf1f8a/NEXT.yaml</x:v>
      </x:c>
      <x:c r="F9" s="26" t="str">
        <x:v>LUFFY-RUNTIME-SCHEDULING-AND-OBSERVATION-R1.</x:v>
      </x:c>
      <x:c r="G9" s="26" t="str">
        <x:v>Current conversation adds harness correction/observation execution. No other package is activated by this tracker.</x:v>
      </x:c>
    </x:row>
    <x:row r="10" ht="108" customHeight="1">
      <x:c r="A10" s="26" t="str">
        <x:v>S04</x:v>
      </x:c>
      <x:c r="B10" s="26" t="str">
        <x:v>Remote checkpoint report and manifest</x:v>
      </x:c>
      <x:c r="C10" s="26" t="str">
        <x:v>Repository checkpoint</x:v>
      </x:c>
      <x:c r="D10" s="26" t="str">
        <x:v>6da5ad9a895ddb0f5fed9d75904e9639cc731b44</x:v>
      </x:c>
      <x:c r="E10" s="26" t="str">
        <x:v>https://github.com/sarmadkhan17/Luffy/blob/6da5ad9a895ddb0f5fed9d75904e9639cc731b44/docs/checkpoints/20261005T131532Z/manifest.json</x:v>
      </x:c>
      <x:c r="F10" s="26" t="str">
        <x:v>55 worktrees; primary evidence snapshot and historical variants.</x:v>
      </x:c>
      <x:c r="G10" s="26" t="str">
        <x:v>Preservation checkpoint, not an instruction to merge historical variants or an engineering PASS.</x:v>
      </x:c>
    </x:row>
    <x:row r="11" ht="108" customHeight="1">
      <x:c r="A11" s="26" t="str">
        <x:v>S05</x:v>
      </x:c>
      <x:c r="B11" s="26" t="str">
        <x:v>Observer/Attention repair — last retained runtime report</x:v>
      </x:c>
      <x:c r="C11" s="26" t="str">
        <x:v>Retained runtime evidence</x:v>
      </x:c>
      <x:c r="D11" s="26" t="str">
        <x:v>958c9eb2f0b10993ad240b85f88c626b8d0e2ee6</x:v>
      </x:c>
      <x:c r="E11" s="26" t="str">
        <x:v>https://github.com/sarmadkhan17/Luffy/blob/6da5ad9a895ddb0f5fed9d75904e9639cc731b44/docs/checkpoints/20261005T131532Z/evidence/runtime-observer-attention-repair-r1/final-report.md</x:v>
      </x:c>
      <x:c r="F11" s="26" t="str">
        <x:v>266.7s first cycle; 138.5s shutdown cycle; observer, Attention and NaN reproductions; one-hour run incomplete.</x:v>
      </x:c>
      <x:c r="G11" s="26" t="str">
        <x:v>Historical observation at the named revision, not fresh host or venue truth.</x:v>
      </x:c>
    </x:row>
    <x:row r="12" ht="108" customHeight="1">
      <x:c r="A12" s="26" t="str">
        <x:v>S06</x:v>
      </x:c>
      <x:c r="B12" s="26" t="str">
        <x:v>Scheduling diagnosis</x:v>
      </x:c>
      <x:c r="C12" s="26" t="str">
        <x:v>User-provided report</x:v>
      </x:c>
      <x:c r="D12" s="26" t="str">
        <x:v>c544745a0dbafdda0761b2775b66656a327c0d3c</x:v>
      </x:c>
      <x:c r="E12" s="26" t="str">
        <x:v>Conversation upload: Pasted text(20261005-151918).txt</x:v>
      </x:c>
      <x:c r="F12" s="26" t="str">
        <x:v>Cost attribution, worker map, research 45s gate, Attention warm-up, measurement gaps.</x:v>
      </x:c>
      <x:c r="G12" s="26" t="str">
        <x:v>Diagnosis PARTIAL; current operating performance not established.</x:v>
      </x:c>
    </x:row>
    <x:row r="13" ht="108" customHeight="1">
      <x:c r="A13" s="26" t="str">
        <x:v>S07</x:v>
      </x:c>
      <x:c r="B13" s="26" t="str">
        <x:v>Observer import fix and two-file diff</x:v>
      </x:c>
      <x:c r="C13" s="26" t="str">
        <x:v>User-provided test report</x:v>
      </x:c>
      <x:c r="D13" s="26" t="str">
        <x:v>Tested on c544745…; committed as 9385f792f32277bb0b826dba83247b8f5ccf1f8a</x:v>
      </x:c>
      <x:c r="E13" s="26" t="str">
        <x:v>Conversation upload: Pasted text(20261005-153818).txt</x:v>
      </x:c>
      <x:c r="F13" s="26" t="str">
        <x:v>34 focused tests; heavy imports absent; median 1.354227s → 0.073787s.</x:v>
      </x:c>
      <x:c r="G13" s="26" t="str">
        <x:v>Guarded fixture/import proof; Kernel latency effect NOT_YET_MEASURED.</x:v>
      </x:c>
    </x:row>
    <x:row r="14" ht="108" customHeight="1">
      <x:c r="A14" s="26" t="str">
        <x:v>S08</x:v>
      </x:c>
      <x:c r="B14" s="26" t="str">
        <x:v>Data usefulness and capture inventory</x:v>
      </x:c>
      <x:c r="C14" s="26" t="str">
        <x:v>User-provided inventory</x:v>
      </x:c>
      <x:c r="D14" s="26" t="str">
        <x:v>Retained compact-candidate inventory; DATA_INVENTORY: PARTIAL</x:v>
      </x:c>
      <x:c r="E14" s="26" t="str">
        <x:v>Conversation upload: Pasted text(20261004-185011).txt</x:v>
      </x:c>
      <x:c r="F14" s="26" t="str">
        <x:v>71 tables, external stores, duplication opportunities, historical capture gaps and retention gaps.</x:v>
      </x:c>
      <x:c r="G14" s="26" t="str">
        <x:v>Not a live system census; old absent linkage is not automatically a current producer defect.</x:v>
      </x:c>
    </x:row>
    <x:row r="15" ht="108" customHeight="1">
      <x:c r="A15" s="26" t="str">
        <x:v>S09</x:v>
      </x:c>
      <x:c r="B15" s="26" t="str">
        <x:v>Owner tracker requirement</x:v>
      </x:c>
      <x:c r="C15" s="26" t="str">
        <x:v>Owner instruction</x:v>
      </x:c>
      <x:c r="D15" s="26" t="str">
        <x:v>Current conversation</x:v>
      </x:c>
      <x:c r="E15" s="26" t="str">
        <x:v>Owner: every required point/behaviour; why it exists; closure conditions; sequential work; new points added to the same tracker.</x:v>
      </x:c>
      <x:c r="F15" s="26" t="str">
        <x:v>Product-wide tracker, including known defects, dependencies, reasons and closure proof.</x:v>
      </x:c>
      <x:c r="G15" s="26" t="str">
        <x:v>This tracker is a planning/evidence ledger, not a new architecture authority.</x:v>
      </x:c>
    </x:row>
    <x:row r="16" ht="108" customHeight="1">
      <x:c r="A16" s="26" t="str">
        <x:v>S10</x:v>
      </x:c>
      <x:c r="B16" s="26" t="str">
        <x:v>Owner Dashboard GUI requirement</x:v>
      </x:c>
      <x:c r="C16" s="26" t="str">
        <x:v>Owner instruction</x:v>
      </x:c>
      <x:c r="D16" s="26" t="str">
        <x:v>Current conversation</x:v>
      </x:c>
      <x:c r="E16" s="26" t="str">
        <x:v>Owner: include dashboard GUI also.</x:v>
      </x:c>
      <x:c r="F16" s="26" t="str">
        <x:v>All nine SDD workspaces, functionality, runtime truth and separate owner visual approval.</x:v>
      </x:c>
      <x:c r="G16" s="26" t="str">
        <x:v>No visual approval is inferred from this request or from old screenshots.</x:v>
      </x:c>
    </x:row>
    <x:row r="17" ht="108" customHeight="1">
      <x:c r="A17" s="26" t="str">
        <x:v>S11</x:v>
      </x:c>
      <x:c r="B17" s="26" t="str">
        <x:v>Current observation harness conflict and continuation</x:v>
      </x:c>
      <x:c r="C17" s="26" t="str">
        <x:v>Owner-pasted task status</x:v>
      </x:c>
      <x:c r="D17" s="26" t="str">
        <x:v>9385f792f32277bb0b826dba83247b8f5ccf1f8a</x:v>
      </x:c>
      <x:c r="E17" s="26" t="str">
        <x:v>Current conversation: PREPARED_HARNESS_CONFLICT; correction + fixtures + one observation authorized.</x:v>
      </x:c>
      <x:c r="F17" s="26" t="str">
        <x:v>Preflight enforcement; Dashboard after boot; window from first cycle; observers survive shutdown timeout.</x:v>
      </x:c>
      <x:c r="G17" s="26" t="str">
        <x:v>Historical pre-run harness conflict. Superseded for latest attempt by S16; do not keep waiting for a result.</x:v>
      </x:c>
    </x:row>
    <x:row r="18" ht="108" customHeight="1">
      <x:c r="A18" s="26" t="str">
        <x:v>S12</x:v>
      </x:c>
      <x:c r="B18" s="26" t="str">
        <x:v>Historical final audit and repair-loop verdicts</x:v>
      </x:c>
      <x:c r="C18" s="26" t="str">
        <x:v>Owner-pasted historical evidence</x:v>
      </x:c>
      <x:c r="D18" s="26" t="str">
        <x:v>Audit 53e7c856…; repair subsequently committed as f9e168e6…</x:v>
      </x:c>
      <x:c r="E18" s="26" t="str">
        <x:v>Current conversation: LUFFY_FINAL_AUDIT_REPAIR_LOOP_R1; F1–F7/F9 and F10–F13.</x:v>
      </x:c>
      <x:c r="F18" s="26" t="str">
        <x:v>Historical defect origin and narrow closure claims; 15 iterations.</x:v>
      </x:c>
      <x:c r="G18" s="26" t="str">
        <x:v>Reported historical closures retained, not reopened or certified anew by tracker creation.</x:v>
      </x:c>
    </x:row>
    <x:row r="19" ht="108" customHeight="1">
      <x:c r="A19" s="26" t="str">
        <x:v>S13</x:v>
      </x:c>
      <x:c r="B19" s="26" t="str">
        <x:v>Storage incident, lossless repair and compact cutover</x:v>
      </x:c>
      <x:c r="C19" s="26" t="str">
        <x:v>Owner-pasted runtime/repair evidence</x:v>
      </x:c>
      <x:c r="D19" s="26" t="str">
        <x:v>1574c051… → a7439d1… → b880e52…</x:v>
      </x:c>
      <x:c r="E19" s="26" t="str">
        <x:v>Current conversation: STORAGE_AND_SPEND_CONTAINMENT; LOSSLESS_JOURNAL_WRITER_REPAIR; COMPACT_CUTOVER_AND_CLEANUP; BOUNDED_EVIDENCE_LATENCY.</x:v>
      </x:c>
      <x:c r="F19" s="26" t="str">
        <x:v>65.123 GB brain_events duplication; lossless repair; 4,696 events preserved; runtime reader/size fixes.</x:v>
      </x:c>
      <x:c r="G19" s="26" t="str">
        <x:v>Storage repair does not establish usefulness or complete learning evidence. Retired database copies were already removed as reported.</x:v>
      </x:c>
    </x:row>
    <x:row r="20" ht="108" customHeight="1">
      <x:c r="A20" s="26" t="str">
        <x:v>S14</x:v>
      </x:c>
      <x:c r="B20" s="26" t="str">
        <x:v>Stage3–Stage8 and Stage1 independent/package verdicts</x:v>
      </x:c>
      <x:c r="C20" s="26" t="str">
        <x:v>Owner-pasted historical evidence</x:v>
      </x:c>
      <x:c r="D20" s="26" t="str">
        <x:v>Multiple exact package IDs and revisions in conversation/STATE</x:v>
      </x:c>
      <x:c r="E20" s="26" t="str">
        <x:v>Current conversation and S02 historical review sections.</x:v>
      </x:c>
      <x:c r="F20" s="26" t="str">
        <x:v>Prior stage build, lifecycle, replay, owner-API and safety proof claims.</x:v>
      </x:c>
      <x:c r="G20" s="26" t="str">
        <x:v>Row-level evidence mapping remains to be completed where an exact test/artifact is not yet linked.</x:v>
      </x:c>
    </x:row>
    <x:row r="21" ht="108" customHeight="1">
      <x:c r="A21" s="26" t="str">
        <x:v>S15</x:v>
      </x:c>
      <x:c r="B21" s="26" t="str">
        <x:v>Owner operating constraints during current work</x:v>
      </x:c>
      <x:c r="C21" s="26" t="str">
        <x:v>Owner instruction and accepted execution contract</x:v>
      </x:c>
      <x:c r="D21" s="26" t="str">
        <x:v>Current conversation</x:v>
      </x:c>
      <x:c r="E21" s="26" t="str">
        <x:v>Same Sol session; FROZEN; demo account; provider disabled; referee/handoff disabled; watchdog.off; no real-money activation.</x:v>
      </x:c>
      <x:c r="F21" s="26" t="str">
        <x:v>Current task boundaries, not permanent product feature removals.</x:v>
      </x:c>
      <x:c r="G21" s="26" t="str">
        <x:v>Runtime facts are last reported, not independently observed in this tracker session.</x:v>
      </x:c>
    </x:row>
    <x:row r="22" ht="88" customHeight="1">
      <x:c r="A22" s="99" t="str">
        <x:v>S16</x:v>
      </x:c>
      <x:c r="B22" s="99" t="str">
        <x:v>Instrumented observation after harness correction</x:v>
      </x:c>
      <x:c r="C22" s="99" t="str">
        <x:v>Owner-pasted runtime result</x:v>
      </x:c>
      <x:c r="D22" s="99" t="str">
        <x:v>scheduling-observation-prep-r1-idi3eex0-kernel-1012489 @ 9385f792f32277bb0b826dba83247b8f5ccf1f8a</x:v>
      </x:c>
      <x:c r="E22" s="99" t="str">
        <x:v>docs/tracker/evidence/2026-10-05-instrumented-observation-owner-report.yaml</x:v>
      </x:c>
      <x:c r="F22" s="99" t="str">
        <x:v>Harness cases passed; first cycle overran limit; stage/observer/storage metadata; all task services stopped.</x:v>
      </x:c>
      <x:c r="G22" s="99" t="str">
        <x:v>Owner-supplied report retained; underlying VM files and exact harness hashes have not been independently fetched. No causal Kernel improvement claim.</x:v>
      </x:c>
    </x:row>
    <x:row r="23" ht="88" customHeight="1">
      <x:c r="A23" s="99" t="str">
        <x:v>S17</x:v>
      </x:c>
      <x:c r="B23" s="99" t="str">
        <x:v>Owner approval to publish tracker and configure Dots on VM</x:v>
      </x:c>
      <x:c r="C23" s="99" t="str">
        <x:v>Owner instruction</x:v>
      </x:c>
      <x:c r="D23" s="99" t="str">
        <x:v>Current conversation, 2026-10-05</x:v>
      </x:c>
      <x:c r="E23" s="99" t="str">
        <x:v>Owner requested tracker files in repository, Dots handoff and step-by-step VM configuration.</x:v>
      </x:c>
      <x:c r="F23" s="99" t="str">
        <x:v>Documentation/artifact publication and local-access setup; sequential tracker-based work.</x:v>
      </x:c>
      <x:c r="G23" s="99" t="str">
        <x:v>Not authorization for real-money activation, new paid providers, destructive cleanup, changing thresholds or starting all queued items.</x:v>
      </x:c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85cf0f4a870240a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5" hidden="0" customWidth="1"/>
    <x:col min="4" max="4" width="62" hidden="0" customWidth="1"/>
    <x:col min="5" max="5" width="80" hidden="0" customWidth="1"/>
    <x:col min="6" max="6" width="16" hidden="0" customWidth="1"/>
  </x:cols>
  <x:sheetData>
    <x:row r="1" ht="24" customHeight="1">
      <x:c r="A1" s="4" t="str">
        <x:v>LUFFY | HISTORICAL DEFECT ORIGINS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3" customHeight="1">
      <x:c r="A3" s="11" t="str">
        <x:v>Reference only; not a queue to reimplement F1–F13. Current narrow fixes/issues appear in the Master Register.</x:v>
      </x:c>
      <x:c r="B3" s="11"/>
      <x:c r="C3" s="11"/>
      <x:c r="D3" s="11"/>
      <x:c r="E3" s="11"/>
      <x:c r="F3" s="11"/>
    </x:row>
    <x:row r="4" ht="23" customHeight="1">
      <x:c r="A4" s="11"/>
      <x:c r="B4" s="11"/>
      <x:c r="C4" s="11"/>
      <x:c r="D4" s="11"/>
      <x:c r="E4" s="11"/>
      <x:c r="F4" s="11"/>
    </x:row>
    <x:row r="6" ht="32" customHeight="1">
      <x:c r="A6" s="19" t="str">
        <x:v>Legacy ID</x:v>
      </x:c>
      <x:c r="B6" s="19" t="str">
        <x:v>Current parent</x:v>
      </x:c>
      <x:c r="C6" s="19" t="str">
        <x:v>Origin</x:v>
      </x:c>
      <x:c r="D6" s="19" t="str">
        <x:v>Historical finding</x:v>
      </x:c>
      <x:c r="E6" s="19" t="str">
        <x:v>Recorded resolution / limitation</x:v>
      </x:c>
      <x:c r="F6" s="19" t="str">
        <x:v>Source</x:v>
      </x:c>
    </x:row>
    <x:row r="7" ht="108" customHeight="1">
      <x:c r="A7" s="26" t="str">
        <x:v>F1</x:v>
      </x:c>
      <x:c r="B7" s="26" t="str">
        <x:v>RUN-01</x:v>
      </x:c>
      <x:c r="C7" s="26" t="str">
        <x:v>REGRESSION</x:v>
      </x:c>
      <x:c r="D7" s="26" t="str">
        <x:v>Cold CCXT feed initialization</x:v>
      </x:c>
      <x:c r="E7" s="26" t="str">
        <x:v>Historical repair loop reported closed; later normal scans observed.</x:v>
      </x:c>
      <x:c r="F7" s="26" t="str">
        <x:v>S12</x:v>
      </x:c>
    </x:row>
    <x:row r="8" ht="108" customHeight="1">
      <x:c r="A8" s="26" t="str">
        <x:v>F2</x:v>
      </x:c>
      <x:c r="B8" s="26" t="str">
        <x:v>DATA-01</x:v>
      </x:c>
      <x:c r="C8" s="26" t="str">
        <x:v>INTEGRATION_DEFECT</x:v>
      </x:c>
      <x:c r="D8" s="26" t="str">
        <x:v>Canonical venue spelling mismatch</x:v>
      </x:c>
      <x:c r="E8" s="26" t="str">
        <x:v>Historical repair loop reported closed.</x:v>
      </x:c>
      <x:c r="F8" s="26" t="str">
        <x:v>S12</x:v>
      </x:c>
    </x:row>
    <x:row r="9" ht="108" customHeight="1">
      <x:c r="A9" s="26" t="str">
        <x:v>F3</x:v>
      </x:c>
      <x:c r="B9" s="26" t="str">
        <x:v>WRLD-06</x:v>
      </x:c>
      <x:c r="C9" s="26" t="str">
        <x:v>LATENT_DEFECT</x:v>
      </x:c>
      <x:c r="D9" s="26" t="str">
        <x:v>Historical WorldModel used later learning revisions</x:v>
      </x:c>
      <x:c r="E9" s="26" t="str">
        <x:v>Historical repair loop reported closed.</x:v>
      </x:c>
      <x:c r="F9" s="26" t="str">
        <x:v>S12</x:v>
      </x:c>
    </x:row>
    <x:row r="10" ht="108" customHeight="1">
      <x:c r="A10" s="26" t="str">
        <x:v>F4</x:v>
      </x:c>
      <x:c r="B10" s="26" t="str">
        <x:v>EXE-03</x:v>
      </x:c>
      <x:c r="C10" s="26" t="str">
        <x:v>LATENT_DEFECT</x:v>
      </x:c>
      <x:c r="D10" s="26" t="str">
        <x:v>Unknown partial-exit response could cause repeated reduction</x:v>
      </x:c>
      <x:c r="E10" s="26" t="str">
        <x:v>Historical repair loop reported closed; F11/F12 downstream effects recorded.</x:v>
      </x:c>
      <x:c r="F10" s="26" t="str">
        <x:v>S12</x:v>
      </x:c>
    </x:row>
    <x:row r="11" ht="108" customHeight="1">
      <x:c r="A11" s="26" t="str">
        <x:v>F5</x:v>
      </x:c>
      <x:c r="B11" s="26" t="str">
        <x:v>MON-01</x:v>
      </x:c>
      <x:c r="C11" s="26" t="str">
        <x:v>UNKNOWN_ORIGIN</x:v>
      </x:c>
      <x:c r="D11" s="26" t="str">
        <x:v>Fresh publication with stale successful-work time</x:v>
      </x:c>
      <x:c r="E11" s="26" t="str">
        <x:v>Historical repair loop reported closed; 240s observation still must pass.</x:v>
      </x:c>
      <x:c r="F11" s="26" t="str">
        <x:v>S12</x:v>
      </x:c>
    </x:row>
    <x:row r="12" ht="108" customHeight="1">
      <x:c r="A12" s="26" t="str">
        <x:v>F6</x:v>
      </x:c>
      <x:c r="B12" s="26" t="str">
        <x:v>DATA-03</x:v>
      </x:c>
      <x:c r="C12" s="26" t="str">
        <x:v>LATENT_DEFECT</x:v>
      </x:c>
      <x:c r="D12" s="26" t="str">
        <x:v>MacroGuard future-received cache</x:v>
      </x:c>
      <x:c r="E12" s="26" t="str">
        <x:v>Historical repair loop reported closed.</x:v>
      </x:c>
      <x:c r="F12" s="26" t="str">
        <x:v>S12</x:v>
      </x:c>
    </x:row>
    <x:row r="13" ht="108" customHeight="1">
      <x:c r="A13" s="26" t="str">
        <x:v>F7</x:v>
      </x:c>
      <x:c r="B13" s="26" t="str">
        <x:v>BKP-01</x:v>
      </x:c>
      <x:c r="C13" s="26" t="str">
        <x:v>INTEGRATION_DEFECT</x:v>
      </x:c>
      <x:c r="D13" s="26" t="str">
        <x:v>Backup omitted retained EWA input</x:v>
      </x:c>
      <x:c r="E13" s="26" t="str">
        <x:v>Historical repair loop reported closed.</x:v>
      </x:c>
      <x:c r="F13" s="26" t="str">
        <x:v>S12</x:v>
      </x:c>
    </x:row>
    <x:row r="14" ht="108" customHeight="1">
      <x:c r="A14" s="26" t="str">
        <x:v>F8</x:v>
      </x:c>
      <x:c r="B14" s="26" t="str">
        <x:v>RUN-01</x:v>
      </x:c>
      <x:c r="C14" s="26" t="str">
        <x:v>OPERATIONAL_GATE</x:v>
      </x:c>
      <x:c r="D14" s="26" t="str">
        <x:v>Old-process handoff</x:v>
      </x:c>
      <x:c r="E14" s="26" t="str">
        <x:v>Old-process replacement completed; sustained operation is PERF-01, not a new first handoff.</x:v>
      </x:c>
      <x:c r="F14" s="26" t="str">
        <x:v>S12</x:v>
      </x:c>
    </x:row>
    <x:row r="15" ht="108" customHeight="1">
      <x:c r="A15" s="26" t="str">
        <x:v>F9</x:v>
      </x:c>
      <x:c r="B15" s="26" t="str">
        <x:v>LLM-03</x:v>
      </x:c>
      <x:c r="C15" s="26" t="str">
        <x:v>LATENT_DEFECT</x:v>
      </x:c>
      <x:c r="D15" s="26" t="str">
        <x:v>Per-purpose budget overshoot</x:v>
      </x:c>
      <x:c r="E15" s="26" t="str">
        <x:v>Historical repair loop reported closed; enabled=false bypass was separate FIX-06.</x:v>
      </x:c>
      <x:c r="F15" s="26" t="str">
        <x:v>S12</x:v>
      </x:c>
    </x:row>
    <x:row r="16" ht="108" customHeight="1">
      <x:c r="A16" s="26" t="str">
        <x:v>F10</x:v>
      </x:c>
      <x:c r="B16" s="26" t="str">
        <x:v>WRLD-06</x:v>
      </x:c>
      <x:c r="C16" s="26" t="str">
        <x:v>UNKNOWN_ORIGIN</x:v>
      </x:c>
      <x:c r="D16" s="26" t="str">
        <x:v>Historical Attention/Portfolio learning revision leak</x:v>
      </x:c>
      <x:c r="E16" s="26" t="str">
        <x:v>Historical repair loop reported closed.</x:v>
      </x:c>
      <x:c r="F16" s="26" t="str">
        <x:v>S12</x:v>
      </x:c>
    </x:row>
    <x:row r="17" ht="108" customHeight="1">
      <x:c r="A17" s="26" t="str">
        <x:v>F11</x:v>
      </x:c>
      <x:c r="B17" s="26" t="str">
        <x:v>EXE-06</x:v>
      </x:c>
      <x:c r="C17" s="26" t="str">
        <x:v>REGRESSION</x:v>
      </x:c>
      <x:c r="D17" s="26" t="str">
        <x:v>Supervisor activation omitted pending partial intent</x:v>
      </x:c>
      <x:c r="E17" s="26" t="str">
        <x:v>Introduced/found within repair loop and reported fixed.</x:v>
      </x:c>
      <x:c r="F17" s="26" t="str">
        <x:v>S12</x:v>
      </x:c>
    </x:row>
    <x:row r="18" ht="108" customHeight="1">
      <x:c r="A18" s="26" t="str">
        <x:v>F12</x:v>
      </x:c>
      <x:c r="B18" s="26" t="str">
        <x:v>RISK-01</x:v>
      </x:c>
      <x:c r="C18" s="26" t="str">
        <x:v>REGRESSION</x:v>
      </x:c>
      <x:c r="D18" s="26" t="str">
        <x:v>Final entry holds omitted pending partial intent</x:v>
      </x:c>
      <x:c r="E18" s="26" t="str">
        <x:v>Introduced/found within repair loop and reported fixed.</x:v>
      </x:c>
      <x:c r="F18" s="26" t="str">
        <x:v>S12</x:v>
      </x:c>
    </x:row>
    <x:row r="19" ht="108" customHeight="1">
      <x:c r="A19" s="26" t="str">
        <x:v>F13</x:v>
      </x:c>
      <x:c r="B19" s="26" t="str">
        <x:v>OUT-03</x:v>
      </x:c>
      <x:c r="C19" s="26" t="str">
        <x:v>UNKNOWN_ORIGIN</x:v>
      </x:c>
      <x:c r="D19" s="26" t="str">
        <x:v>Research snapshots lost provenance/replay hash</x:v>
      </x:c>
      <x:c r="E19" s="26" t="str">
        <x:v>Historical repair loop reported closed.</x:v>
      </x:c>
      <x:c r="F19" s="26" t="str">
        <x:v>S12</x:v>
      </x:c>
    </x:row>
  </x:sheetData>
  <x:mergeCells>
    <x:mergeCell ref="A1:F2"/>
    <x:mergeCell ref="A3:F4"/>
  </x:mergeCells>
  <x:pageMargins left="0.7" right="0.7" top="0.75" bottom="0.75" header="0.3" footer="0.3"/>
  <x:tableParts count="1">
    <x:tablePart xmlns:r="http://schemas.openxmlformats.org/officeDocument/2006/relationships" r:id="R2635996df7d84a4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25" hidden="0" customWidth="1"/>
  </x:cols>
  <x:sheetData>
    <x:row r="1" ht="24" customHeight="1">
      <x:c r="A1" s="4" t="str">
        <x:v>LUFFY | HOW WORK ENTERS AND CLOSES</x:v>
      </x:c>
      <x:c r="B1" s="4"/>
    </x:row>
    <x:row r="2" ht="24" customHeight="1">
      <x:c r="A2" s="4"/>
      <x:c r="B2" s="4"/>
    </x:row>
    <x:row r="3" ht="23" customHeight="1">
      <x:c r="A3" s="11" t="str">
        <x:v>Owner approved publication/setup. Detailed evidence mapping remains incomplete; this file never grants runtime or trading authority.</x:v>
      </x:c>
      <x:c r="B3" s="11"/>
    </x:row>
    <x:row r="4" ht="23" customHeight="1">
      <x:c r="A4" s="11"/>
      <x:c r="B4" s="11"/>
    </x:row>
    <x:row r="6" ht="32" customHeight="1">
      <x:c r="A6" s="19" t="str">
        <x:v>Rule / status</x:v>
      </x:c>
      <x:c r="B6" s="19" t="str">
        <x:v>Meaning</x:v>
      </x:c>
    </x:row>
    <x:row r="7" ht="56" customHeight="1">
      <x:c r="A7" s="26" t="str">
        <x:v>Authority</x:v>
      </x:c>
      <x:c r="B7" s="26" t="str">
        <x:v>SDD.md defines the target. STATE/NEXT remain the current summary and single selected work package. This is their detailed derived ledger, not another architecture authority.</x:v>
      </x:c>
    </x:row>
    <x:row r="8" ht="56" customHeight="1">
      <x:c r="A8" s="26" t="str">
        <x:v>One data set</x:v>
      </x:c>
      <x:c r="B8" s="26" t="str">
        <x:v>Maintain the YAML as the canonical detailed item dataset. Regenerate XLSX/Markdown from it; never independently edit three competing status copies. Exports carry the same revision and item IDs.</x:v>
      </x:c>
    </x:row>
    <x:row r="9" ht="56" customHeight="1">
      <x:c r="A9" s="26" t="str">
        <x:v>Current work</x:v>
      </x:c>
      <x:c r="B9" s="26" t="str">
        <x:v>OPEN-09 is the single active documentation/import/setup item. WORK-01 ended BLOCKED; next diagnostic is PERF-01 after evidence verification. No runtime execution is newly authorized.</x:v>
      </x:c>
    </x:row>
    <x:row r="10" ht="56" customHeight="1">
      <x:c r="A10" s="26" t="str">
        <x:v>Activation</x:v>
      </x:c>
      <x:c r="B10" s="26" t="str">
        <x:v>No item, green cell, spreadsheet formula or passing test activates trading, paid providers, new workers, a restart or a scope expansion.</x:v>
      </x:c>
    </x:row>
    <x:row r="11" ht="56" customHeight="1">
      <x:c r="A11" s="26" t="str">
        <x:v>Intake</x:v>
      </x:c>
      <x:c r="B11" s="26" t="str">
        <x:v>A new finding needs ID, parent requirement, why, source or exact violated invariant, evidence/reproducer, impact, dependencies and closure condition. Unknown origin stays unknown.</x:v>
      </x:c>
    </x:row>
    <x:row r="12" ht="56" customHeight="1">
      <x:c r="A12" s="26" t="str">
        <x:v>No moving goalposts</x:v>
      </x:c>
      <x:c r="B12" s="26" t="str">
        <x:v>Keep the acceptance version that the work started under. Change it only with an explicit reason/owner decision. A different requirement is a linked item, not a silent edit.</x:v>
      </x:c>
    </x:row>
    <x:row r="13" ht="56" customHeight="1">
      <x:c r="A13" s="26" t="str">
        <x:v>Closure</x:v>
      </x:c>
      <x:c r="B13" s="26" t="str">
        <x:v>Link exact test/run/config/code identity; verify normal caller, relevant failure/restart cases and touched frozen invariants. Mark only the demonstrated proof level.</x:v>
      </x:c>
    </x:row>
    <x:row r="14" ht="56" customHeight="1">
      <x:c r="A14" s="26" t="str">
        <x:v>Historical PASS</x:v>
      </x:c>
      <x:c r="B14" s="26" t="str">
        <x:v>Do not convert a package-level count into per-behaviour or runtime proof. Do not rerun old audits solely because an item is EVIDENCE_TO_MAP.</x:v>
      </x:c>
    </x:row>
    <x:row r="15" ht="56" customHeight="1">
      <x:c r="A15" s="26" t="str">
        <x:v>Regression</x:v>
      </x:c>
      <x:c r="B15" s="26" t="str">
        <x:v>Preserve prior closure. Record a new event with reproducer, affected invariant and evidence for introducing revision; repair only the justified scope.</x:v>
      </x:c>
    </x:row>
    <x:row r="16" ht="56" customHeight="1">
      <x:c r="A16" s="26" t="str">
        <x:v>GUI</x:v>
      </x:c>
      <x:c r="B16" s="26" t="str">
        <x:v>Track per-screen functional proof, runtime truth and owner visual approval separately. No agent may award the owner's visual approval.</x:v>
      </x:c>
    </x:row>
    <x:row r="17" ht="56" customHeight="1">
      <x:c r="A17" s="26" t="str">
        <x:v>Blocked work</x:v>
      </x:c>
      <x:c r="B17" s="26" t="str">
        <x:v>Record internal dependency, policy, external evidence or owner gate distinctly. Do not simulate missing authority or fabricate retrospective evidence to close it.</x:v>
      </x:c>
    </x:row>
    <x:row r="18" ht="56" customHeight="1">
      <x:c r="A18" s="26" t="str">
        <x:v>Observations</x:v>
      </x:c>
      <x:c r="B18" s="26" t="str">
        <x:v>Warm-up, no opportunity, no eligible rule, disabled paid provider and policy-blocked research can be valid outcomes. They cannot prove an unexercised capability.</x:v>
      </x:c>
    </x:row>
    <x:row r="19" ht="56" customHeight="1">
      <x:c r="A19" s="26" t="str">
        <x:v>Metrics</x:v>
      </x:c>
      <x:c r="B19" s="26" t="str">
        <x:v>Summary counts are tracker workflow counts, NOT percent complete, weighted product progress or readiness. No fixed profitability/sample/retention thresholds are invented.</x:v>
      </x:c>
    </x:row>
    <x:row r="20" ht="56" customHeight="1">
      <x:c r="A20" s="26" t="str">
        <x:v>Updates</x:v>
      </x:c>
      <x:c r="B20" s="26" t="str">
        <x:v>After each completed package: attach result, update affected IDs, add new issues, record history and select exactly one approved next ID in NEXT.</x:v>
      </x:c>
    </x:row>
    <x:row r="21" ht="56" customHeight="1">
      <x:c r="A21" s="26" t="str">
        <x:v>Data</x:v>
      </x:c>
      <x:c r="B21" s="26" t="str">
        <x:v>Identical immutable payloads may share storage. Distinct observation times/identities remain. Backups are intentional redundancy; retention/deletion requires a proved dependency boundary.</x:v>
      </x:c>
    </x:row>
    <x:row r="22" ht="56" customHeight="1">
      <x:c r="A22" s="26" t="str">
        <x:v>Known status limit</x:v>
      </x:c>
      <x:c r="B22" s="26" t="str">
        <x:v>Latest S16 is owner-reported: first cycle 259.776s, stop at 240.033s, no recurring cycles; Kernel and task observers stopped, Dashboard not launched. Reverify VM before operational claims.</x:v>
      </x:c>
    </x:row>
    <x:row r="23" ht="56" customHeight="1">
      <x:c r="A23" s="26" t="str">
        <x:v>Adoption</x:v>
      </x:c>
      <x:c r="B23" s="26" t="str">
        <x:v>Owner approved repository publication/Dots handoff (S17). Complete artifact import and STATE/NEXT pointers must be verified locally; evidence-to-map rows are not missing-code findings.</x:v>
      </x:c>
    </x:row>
    <x:row r="24" ht="56" customHeight="1">
      <x:c r="A24" s="26" t="str">
        <x:v>Safety exception</x:v>
      </x:c>
      <x:c r="B24" s="26" t="str">
        <x:v>An immediate observed safety incident may require containment under existing authority; record the issue and outcome promptly. A tracker queue never overrides safety.</x:v>
      </x:c>
    </x:row>
    <x:row r="25" ht="56" customHeight="1">
      <x:c r="A25" s="26" t="str">
        <x:v>Status: EVIDENCE_TO_MAP</x:v>
      </x:c>
      <x:c r="B25" s="26" t="str">
        <x:v>Existing requirement recorded; exact row-level evidence has not yet been linked. This is NOT a finding that the feature is missing, broken or reopened.</x:v>
      </x:c>
    </x:row>
    <x:row r="26" ht="56" customHeight="1">
      <x:c r="A26" s="26" t="str">
        <x:v>Status: OPEN</x:v>
      </x:c>
      <x:c r="B26" s="26" t="str">
        <x:v>A specific measured gap or needed proof is recorded; work is not automatically authorized.</x:v>
      </x:c>
    </x:row>
    <x:row r="27" ht="56" customHeight="1">
      <x:c r="A27" s="26" t="str">
        <x:v>Status: IN_PROGRESS</x:v>
      </x:c>
      <x:c r="B27" s="26" t="str">
        <x:v>The single currently authorized work package. Result pending; do not launch parallel packages.</x:v>
      </x:c>
    </x:row>
    <x:row r="28" ht="56" customHeight="1">
      <x:c r="A28" s="26" t="str">
        <x:v>Status: AWAITING_EVIDENCE</x:v>
      </x:c>
      <x:c r="B28" s="26" t="str">
        <x:v>Implementation or a fix may exist; the specified operational/reproduction/closure evidence is pending.</x:v>
      </x:c>
    </x:row>
    <x:row r="29" ht="56" customHeight="1">
      <x:c r="A29" s="26" t="str">
        <x:v>Status: AWAITING_OWNER</x:v>
      </x:c>
      <x:c r="B29" s="26" t="str">
        <x:v>A visual approval, scope/policy value or adoption decision is needed. Not permission to invent it.</x:v>
      </x:c>
    </x:row>
    <x:row r="30" ht="56" customHeight="1">
      <x:c r="A30" s="26" t="str">
        <x:v>Status: CLOSED</x:v>
      </x:c>
      <x:c r="B30" s="26" t="str">
        <x:v>Only this row's exact closing condition is reported satisfied at its recorded revision/scope. Later regressions need a new evidence-linked event.</x:v>
      </x:c>
    </x:row>
    <x:row r="31" ht="56" customHeight="1">
      <x:c r="A31" s="26" t="str">
        <x:v>Status: DEFERRED</x:v>
      </x:c>
      <x:c r="B31" s="26" t="str">
        <x:v>Outside current release scope by design; visible but not counted as a current mandatory defect.</x:v>
      </x:c>
    </x:row>
    <x:row r="32" ht="56" customHeight="1">
      <x:c r="A32" s="26" t="str">
        <x:v>Status: BLOCKED</x:v>
      </x:c>
      <x:c r="B32" s="26" t="str">
        <x:v>Cannot proceed under its contract; an exact dependency, external condition or safety fact must be recorded.</x:v>
      </x:c>
    </x:row>
  </x:sheetData>
  <x:mergeCells>
    <x:mergeCell ref="A1:B2"/>
    <x:mergeCell ref="A3:B4"/>
  </x:mergeCells>
  <x:pageMargins left="0.7" right="0.7" top="0.75" bottom="0.75" header="0.3" footer="0.3"/>
  <x:tableParts count="1">
    <x:tablePart xmlns:r="http://schemas.openxmlformats.org/officeDocument/2006/relationships" r:id="Rb21dbe7b45f7479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24" hidden="0" customWidth="1"/>
    <x:col min="4" max="4" width="42" hidden="0" customWidth="1"/>
    <x:col min="5" max="5" width="45" hidden="0" customWidth="1"/>
    <x:col min="6" max="6" width="75" hidden="0" customWidth="1"/>
    <x:col min="7" max="7" width="30" hidden="0" customWidth="1"/>
    <x:col min="8" max="8" width="40" hidden="0" customWidth="1"/>
  </x:cols>
  <x:sheetData>
    <x:row r="1" ht="24" customHeight="1">
      <x:c r="A1" s="4" t="str">
        <x:v>LUFFY | TRACKER CHANGE LOG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3" customHeight="1">
      <x:c r="A3" s="11" t="str">
        <x:v>Append a record when adding an issue, changing acceptance, closing/reopening an item or selecting work. Preserve reasons and exact evidence.</x:v>
      </x:c>
      <x:c r="B3" s="11"/>
      <x:c r="C3" s="11"/>
      <x:c r="D3" s="11"/>
      <x:c r="E3" s="11"/>
      <x:c r="F3" s="11"/>
      <x:c r="G3" s="11"/>
      <x:c r="H3" s="11"/>
    </x:row>
    <x:row r="4" ht="23" customHeight="1">
      <x:c r="A4" s="11"/>
      <x:c r="B4" s="11"/>
      <x:c r="C4" s="11"/>
      <x:c r="D4" s="11"/>
      <x:c r="E4" s="11"/>
      <x:c r="F4" s="11"/>
      <x:c r="G4" s="11"/>
      <x:c r="H4" s="11"/>
    </x:row>
    <x:row r="6" ht="32" customHeight="1">
      <x:c r="A6" s="19" t="str">
        <x:v>Date</x:v>
      </x:c>
      <x:c r="B6" s="19" t="str">
        <x:v>Event</x:v>
      </x:c>
      <x:c r="C6" s="19" t="str">
        <x:v>Item(s)</x:v>
      </x:c>
      <x:c r="D6" s="19" t="str">
        <x:v>Before</x:v>
      </x:c>
      <x:c r="E6" s="19" t="str">
        <x:v>After</x:v>
      </x:c>
      <x:c r="F6" s="19" t="str">
        <x:v>Why</x:v>
      </x:c>
      <x:c r="G6" s="19" t="str">
        <x:v>Source / evidence</x:v>
      </x:c>
      <x:c r="H6" s="19" t="str">
        <x:v>Actor / provenance</x:v>
      </x:c>
    </x:row>
    <x:row r="7" ht="108" customHeight="1">
      <x:c r="A7" s="26" t="str">
        <x:v>2026-10-05</x:v>
      </x:c>
      <x:c r="B7" s="26" t="str">
        <x:v>TRACKER_CREATED</x:v>
      </x:c>
      <x:c r="C7" s="26" t="str">
        <x:v>ALL</x:v>
      </x:c>
      <x:c r="D7" s="26" t="str">
        <x:v>No saved consolidated tracker</x:v>
      </x:c>
      <x:c r="E7" s="26" t="str">
        <x:v>Draft v1, 176 rows</x:v>
      </x:c>
      <x:c r="F7" s="26" t="str">
        <x:v>Owner requested product-wide behaviour/why/closure tracking including GUI.</x:v>
      </x:c>
      <x:c r="G7" s="26" t="str">
        <x:v>S09,S10</x:v>
      </x:c>
      <x:c r="H7" s="26" t="str">
        <x:v>ChatGPT drafting from pinned sources</x:v>
      </x:c>
    </x:row>
    <x:row r="8" ht="108" customHeight="1">
      <x:c r="A8" s="26" t="str">
        <x:v>2026-10-05</x:v>
      </x:c>
      <x:c r="B8" s="26" t="str">
        <x:v>CURRENT_WORK_CARRIED_FORWARD</x:v>
      </x:c>
      <x:c r="C8" s="26" t="str">
        <x:v>WORK-01</x:v>
      </x:c>
      <x:c r="D8" s="26" t="str">
        <x:v>Harness conflict report</x:v>
      </x:c>
      <x:c r="E8" s="26" t="str">
        <x:v>IN_PROGRESS / RESULT_PENDING</x:v>
      </x:c>
      <x:c r="F8" s="26" t="str">
        <x:v>Owner reports corrected-harness task running; no final result received.</x:v>
      </x:c>
      <x:c r="G8" s="26" t="str">
        <x:v>S11</x:v>
      </x:c>
      <x:c r="H8" s="26" t="str">
        <x:v>Owner-reported status</x:v>
      </x:c>
    </x:row>
    <x:row r="9" ht="108" customHeight="1">
      <x:c r="A9" s="26" t="str">
        <x:v>2026-10-05</x:v>
      </x:c>
      <x:c r="B9" s="26" t="str">
        <x:v>NARROW_CLOSURES_PRESERVED</x:v>
      </x:c>
      <x:c r="C9" s="26" t="str">
        <x:v>PERF-02; FIX-01..06</x:v>
      </x:c>
      <x:c r="D9" s="26" t="str">
        <x:v>Reported test/runtime closures</x:v>
      </x:c>
      <x:c r="E9" s="26" t="str">
        <x:v>CLOSED within exact historical scope</x:v>
      </x:c>
      <x:c r="F9" s="26" t="str">
        <x:v>Do not reopen known fixes or broaden them to whole-product completion.</x:v>
      </x:c>
      <x:c r="G9" s="26" t="str">
        <x:v>S05,S07,S13</x:v>
      </x:c>
      <x:c r="H9" s="26" t="str">
        <x:v>Evidence import, not re-review</x:v>
      </x:c>
    </x:row>
    <x:row r="10" ht="88" customHeight="1">
      <x:c r="A10" s="99" t="str">
        <x:v>2026-10-05</x:v>
      </x:c>
      <x:c r="B10" s="99" t="str">
        <x:v>OBSERVATION_RESULT_RECORDED</x:v>
      </x:c>
      <x:c r="C10" s="99" t="str">
        <x:v>WORK-01; PERF-01; PERF-02; PERF-03; OPEN-01</x:v>
      </x:c>
      <x:c r="D10" s="99" t="str">
        <x:v>Awaiting result</x:v>
      </x:c>
      <x:c r="E10" s="99" t="str">
        <x:v>WORK-01 BLOCKED; attribution next; import fix stays narrowly CLOSED</x:v>
      </x:c>
      <x:c r="F10" s="99" t="str">
        <x:v>Record first-cycle overrun without inventing steady-state data, changing thresholds or reopening completed harness fixes.</x:v>
      </x:c>
      <x:c r="G10" s="99" t="str">
        <x:v>S16</x:v>
      </x:c>
      <x:c r="H10" s="99" t="str">
        <x:v>Owner-reported result imported by ChatGPT</x:v>
      </x:c>
    </x:row>
    <x:row r="11" ht="88" customHeight="1">
      <x:c r="A11" s="99" t="str">
        <x:v>2026-10-05</x:v>
      </x:c>
      <x:c r="B11" s="99" t="str">
        <x:v>PUBLICATION_AUTHORIZED</x:v>
      </x:c>
      <x:c r="C11" s="99" t="str">
        <x:v>OPEN-09</x:v>
      </x:c>
      <x:c r="D11" s="99" t="str">
        <x:v>AWAITING_OWNER</x:v>
      </x:c>
      <x:c r="E11" s="99" t="str">
        <x:v>IN_PROGRESS; publication/setup only</x:v>
      </x:c>
      <x:c r="F11" s="99" t="str">
        <x:v>Owner requested repository files and Dots setup. No blanket acceptance of draft criteria or runtime activation.</x:v>
      </x:c>
      <x:c r="G11" s="99" t="str">
        <x:v>S17</x:v>
      </x:c>
      <x:c r="H11" s="99" t="str">
        <x:v>Owner instruction</x:v>
      </x:c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98f1ea2c68564243"/>
  </x:tableParts>
</x:worksheet>
</file>